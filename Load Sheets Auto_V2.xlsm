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" ContentType="application/msword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4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5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t\Desktop\ForGIT\LoadSheetAuto\"/>
    </mc:Choice>
  </mc:AlternateContent>
  <xr:revisionPtr revIDLastSave="0" documentId="13_ncr:1_{250AE966-5A07-49F0-BE74-ECFA4F8276B5}" xr6:coauthVersionLast="47" xr6:coauthVersionMax="47" xr10:uidLastSave="{00000000-0000-0000-0000-000000000000}"/>
  <bookViews>
    <workbookView xWindow="13940" yWindow="7630" windowWidth="19190" windowHeight="10200" tabRatio="866" xr2:uid="{00000000-000D-0000-FFFF-FFFF00000000}"/>
  </bookViews>
  <sheets>
    <sheet name="Input" sheetId="1" r:id="rId1"/>
    <sheet name="Output - Default" sheetId="12" r:id="rId2"/>
    <sheet name="Output - Maintain Even Weight" sheetId="13" r:id="rId3"/>
    <sheet name="Output - Compress" sheetId="14" r:id="rId4"/>
    <sheet name="Output - Minimize BWs" sheetId="18" r:id="rId5"/>
    <sheet name="Settings" sheetId="19" r:id="rId6"/>
  </sheets>
  <functionGroups builtInGroupCount="19"/>
  <externalReferences>
    <externalReference r:id="rId7"/>
    <externalReference r:id="rId8"/>
  </externalReferences>
  <definedNames>
    <definedName name="Check10" localSheetId="0">Input!$E$54</definedName>
    <definedName name="Check10" localSheetId="3">'Output - Compress'!$E$54</definedName>
    <definedName name="Check10" localSheetId="1">'Output - Default'!$E$54</definedName>
    <definedName name="Check10" localSheetId="2">'Output - Maintain Even Weight'!$E$54</definedName>
    <definedName name="Check10" localSheetId="4">'Output - Minimize BWs'!$E$54</definedName>
    <definedName name="Check11" localSheetId="0">Input!$D$51</definedName>
    <definedName name="Check11" localSheetId="3">'Output - Compress'!$D$51</definedName>
    <definedName name="Check11" localSheetId="1">'Output - Default'!$D$51</definedName>
    <definedName name="Check11" localSheetId="2">'Output - Maintain Even Weight'!$D$51</definedName>
    <definedName name="Check11" localSheetId="4">'Output - Minimize BWs'!$D$51</definedName>
    <definedName name="Check12" localSheetId="0">Input!$E$51</definedName>
    <definedName name="Check12" localSheetId="3">'Output - Compress'!$E$51</definedName>
    <definedName name="Check12" localSheetId="1">'Output - Default'!$E$51</definedName>
    <definedName name="Check12" localSheetId="2">'Output - Maintain Even Weight'!$E$51</definedName>
    <definedName name="Check12" localSheetId="4">'Output - Minimize BWs'!$E$51</definedName>
    <definedName name="Check15" localSheetId="0">Input!$C$55</definedName>
    <definedName name="Check15" localSheetId="3">'Output - Compress'!$C$55</definedName>
    <definedName name="Check15" localSheetId="1">'Output - Default'!$C$55</definedName>
    <definedName name="Check15" localSheetId="2">'Output - Maintain Even Weight'!$C$55</definedName>
    <definedName name="Check15" localSheetId="4">'Output - Minimize BWs'!$C$55</definedName>
    <definedName name="Check16" localSheetId="0">Input!$D$55</definedName>
    <definedName name="Check16" localSheetId="3">'Output - Compress'!$D$55</definedName>
    <definedName name="Check16" localSheetId="1">'Output - Default'!$D$55</definedName>
    <definedName name="Check16" localSheetId="2">'Output - Maintain Even Weight'!$D$55</definedName>
    <definedName name="Check16" localSheetId="4">'Output - Minimize BWs'!$D$55</definedName>
    <definedName name="Check17" localSheetId="0">Input!$D$56</definedName>
    <definedName name="Check17" localSheetId="3">'Output - Compress'!$D$56</definedName>
    <definedName name="Check17" localSheetId="1">'Output - Default'!$D$56</definedName>
    <definedName name="Check17" localSheetId="2">'Output - Maintain Even Weight'!$D$56</definedName>
    <definedName name="Check17" localSheetId="4">'Output - Minimize BWs'!$D$56</definedName>
    <definedName name="Check18" localSheetId="0">Input!$E$56</definedName>
    <definedName name="Check18" localSheetId="3">'Output - Compress'!$E$56</definedName>
    <definedName name="Check18" localSheetId="1">'Output - Default'!$E$56</definedName>
    <definedName name="Check18" localSheetId="2">'Output - Maintain Even Weight'!$E$56</definedName>
    <definedName name="Check18" localSheetId="4">'Output - Minimize BWs'!$E$56</definedName>
    <definedName name="Check2" localSheetId="0">Input!$E$53</definedName>
    <definedName name="Check2" localSheetId="3">'Output - Compress'!$E$53</definedName>
    <definedName name="Check2" localSheetId="1">'Output - Default'!$E$53</definedName>
    <definedName name="Check2" localSheetId="2">'Output - Maintain Even Weight'!$E$53</definedName>
    <definedName name="Check2" localSheetId="4">'Output - Minimize BWs'!$E$53</definedName>
    <definedName name="Check3" localSheetId="0">Input!$D$49</definedName>
    <definedName name="Check3" localSheetId="3">'Output - Compress'!$D$49</definedName>
    <definedName name="Check3" localSheetId="1">'Output - Default'!$D$49</definedName>
    <definedName name="Check3" localSheetId="2">'Output - Maintain Even Weight'!$D$49</definedName>
    <definedName name="Check3" localSheetId="4">'Output - Minimize BWs'!$D$49</definedName>
    <definedName name="Check4" localSheetId="0">Input!$E$49</definedName>
    <definedName name="Check4" localSheetId="3">'Output - Compress'!$E$49</definedName>
    <definedName name="Check4" localSheetId="1">'Output - Default'!$E$49</definedName>
    <definedName name="Check4" localSheetId="2">'Output - Maintain Even Weight'!$E$49</definedName>
    <definedName name="Check4" localSheetId="4">'Output - Minimize BWs'!$E$49</definedName>
    <definedName name="Check5" localSheetId="0">Input!$D$52</definedName>
    <definedName name="Check5" localSheetId="3">'Output - Compress'!$D$52</definedName>
    <definedName name="Check5" localSheetId="1">'Output - Default'!$D$52</definedName>
    <definedName name="Check5" localSheetId="2">'Output - Maintain Even Weight'!$D$52</definedName>
    <definedName name="Check5" localSheetId="4">'Output - Minimize BWs'!$D$52</definedName>
    <definedName name="Check6" localSheetId="0">Input!$E$52</definedName>
    <definedName name="Check6" localSheetId="3">'Output - Compress'!$E$52</definedName>
    <definedName name="Check6" localSheetId="1">'Output - Default'!$E$52</definedName>
    <definedName name="Check6" localSheetId="2">'Output - Maintain Even Weight'!$E$52</definedName>
    <definedName name="Check6" localSheetId="4">'Output - Minimize BWs'!$E$52</definedName>
    <definedName name="Check7" localSheetId="0">Input!$D$50</definedName>
    <definedName name="Check7" localSheetId="3">'Output - Compress'!$D$50</definedName>
    <definedName name="Check7" localSheetId="1">'Output - Default'!$D$50</definedName>
    <definedName name="Check7" localSheetId="2">'Output - Maintain Even Weight'!$D$50</definedName>
    <definedName name="Check7" localSheetId="4">'Output - Minimize BWs'!$D$50</definedName>
    <definedName name="Check8" localSheetId="0">Input!$E$50</definedName>
    <definedName name="Check8" localSheetId="3">'Output - Compress'!$E$50</definedName>
    <definedName name="Check8" localSheetId="1">'Output - Default'!$E$50</definedName>
    <definedName name="Check8" localSheetId="2">'Output - Maintain Even Weight'!$E$50</definedName>
    <definedName name="Check8" localSheetId="4">'Output - Minimize BWs'!$E$50</definedName>
    <definedName name="Check9" localSheetId="0">Input!$D$54</definedName>
    <definedName name="Check9" localSheetId="3">'Output - Compress'!$D$54</definedName>
    <definedName name="Check9" localSheetId="1">'Output - Default'!$D$54</definedName>
    <definedName name="Check9" localSheetId="2">'Output - Maintain Even Weight'!$D$54</definedName>
    <definedName name="Check9" localSheetId="4">'Output - Minimize BWs'!$D$54</definedName>
    <definedName name="_xlnm.Print_Area" localSheetId="0">Input!$A$1:$H$87</definedName>
    <definedName name="_xlnm.Print_Area" localSheetId="3">'Output - Compress'!$A$1:$H$87</definedName>
    <definedName name="_xlnm.Print_Area" localSheetId="1">'Output - Default'!$A$1:$H$87</definedName>
    <definedName name="_xlnm.Print_Area" localSheetId="2">'Output - Maintain Even Weight'!$A$1:$H$87</definedName>
    <definedName name="_xlnm.Print_Area" localSheetId="4">'Output - Minimize BWs'!$A$1:$H$87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21" i="18" l="1"/>
  <c r="O20" i="18"/>
  <c r="O19" i="18"/>
  <c r="O18" i="18"/>
  <c r="O17" i="18"/>
  <c r="O16" i="18"/>
  <c r="O15" i="18"/>
  <c r="O14" i="18"/>
  <c r="O13" i="18"/>
  <c r="O12" i="18"/>
  <c r="O11" i="18"/>
  <c r="O10" i="18"/>
  <c r="O9" i="18"/>
  <c r="O8" i="18"/>
  <c r="O7" i="18"/>
  <c r="O6" i="18"/>
  <c r="O21" i="14"/>
  <c r="O20" i="14"/>
  <c r="O19" i="14"/>
  <c r="O18" i="14"/>
  <c r="O17" i="14"/>
  <c r="O16" i="14"/>
  <c r="O15" i="14"/>
  <c r="O14" i="14"/>
  <c r="O13" i="14"/>
  <c r="O12" i="14"/>
  <c r="O11" i="14"/>
  <c r="O10" i="14"/>
  <c r="O9" i="14"/>
  <c r="O8" i="14"/>
  <c r="O7" i="14"/>
  <c r="O6" i="14"/>
  <c r="O21" i="13"/>
  <c r="O20" i="13"/>
  <c r="O19" i="13"/>
  <c r="O18" i="13"/>
  <c r="O17" i="13"/>
  <c r="O16" i="13"/>
  <c r="O15" i="13"/>
  <c r="O14" i="13"/>
  <c r="O13" i="13"/>
  <c r="O12" i="13"/>
  <c r="O11" i="13"/>
  <c r="O10" i="13"/>
  <c r="O9" i="13"/>
  <c r="O8" i="13"/>
  <c r="O7" i="13"/>
  <c r="O6" i="13"/>
  <c r="O21" i="12"/>
  <c r="O20" i="12"/>
  <c r="O19" i="12"/>
  <c r="O18" i="12"/>
  <c r="O17" i="12"/>
  <c r="O16" i="12"/>
  <c r="O15" i="12"/>
  <c r="O14" i="12"/>
  <c r="O13" i="12"/>
  <c r="O12" i="12"/>
  <c r="O11" i="12"/>
  <c r="O10" i="12"/>
  <c r="O9" i="12"/>
  <c r="O8" i="12"/>
  <c r="O7" i="12"/>
  <c r="O6" i="12"/>
  <c r="O21" i="1" l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P16" i="18" l="1"/>
  <c r="Q16" i="18" s="1"/>
  <c r="R16" i="18" s="1"/>
  <c r="P15" i="18"/>
  <c r="Q15" i="18" s="1"/>
  <c r="R15" i="18" s="1"/>
  <c r="P14" i="18"/>
  <c r="Q14" i="18" s="1"/>
  <c r="R14" i="18" s="1"/>
  <c r="P13" i="18"/>
  <c r="Q13" i="18" s="1"/>
  <c r="R13" i="18" s="1"/>
  <c r="P12" i="18"/>
  <c r="Q12" i="18" s="1"/>
  <c r="R12" i="18" s="1"/>
  <c r="P11" i="18"/>
  <c r="Q11" i="18" s="1"/>
  <c r="R11" i="18" s="1"/>
  <c r="P10" i="18"/>
  <c r="Q10" i="18" s="1"/>
  <c r="R10" i="18" s="1"/>
  <c r="P9" i="18"/>
  <c r="Q9" i="18" s="1"/>
  <c r="R9" i="18" s="1"/>
  <c r="P8" i="18"/>
  <c r="Q8" i="18" s="1"/>
  <c r="R8" i="18" s="1"/>
  <c r="P6" i="18"/>
  <c r="Q6" i="18" s="1"/>
  <c r="R6" i="18" s="1"/>
  <c r="P16" i="14" l="1"/>
  <c r="Q16" i="14" s="1"/>
  <c r="R16" i="14" s="1"/>
  <c r="P15" i="14"/>
  <c r="Q15" i="14" s="1"/>
  <c r="R15" i="14" s="1"/>
  <c r="P14" i="14"/>
  <c r="Q14" i="14" s="1"/>
  <c r="R14" i="14" s="1"/>
  <c r="P13" i="14"/>
  <c r="Q13" i="14" s="1"/>
  <c r="R13" i="14" s="1"/>
  <c r="P12" i="14"/>
  <c r="Q12" i="14" s="1"/>
  <c r="R12" i="14" s="1"/>
  <c r="P11" i="14"/>
  <c r="Q11" i="14" s="1"/>
  <c r="R11" i="14" s="1"/>
  <c r="P10" i="14"/>
  <c r="Q10" i="14" s="1"/>
  <c r="R10" i="14" s="1"/>
  <c r="P9" i="14"/>
  <c r="Q9" i="14" s="1"/>
  <c r="R9" i="14" s="1"/>
  <c r="P8" i="14"/>
  <c r="Q8" i="14" s="1"/>
  <c r="R8" i="14" s="1"/>
  <c r="P6" i="14"/>
  <c r="Q6" i="14" s="1"/>
  <c r="R6" i="14" s="1"/>
  <c r="P16" i="13"/>
  <c r="Q16" i="13" s="1"/>
  <c r="R16" i="13" s="1"/>
  <c r="P15" i="13"/>
  <c r="Q15" i="13" s="1"/>
  <c r="R15" i="13" s="1"/>
  <c r="P14" i="13"/>
  <c r="Q14" i="13" s="1"/>
  <c r="R14" i="13" s="1"/>
  <c r="P13" i="13"/>
  <c r="Q13" i="13" s="1"/>
  <c r="R13" i="13" s="1"/>
  <c r="P12" i="13"/>
  <c r="Q12" i="13" s="1"/>
  <c r="R12" i="13" s="1"/>
  <c r="P11" i="13"/>
  <c r="Q11" i="13" s="1"/>
  <c r="R11" i="13" s="1"/>
  <c r="P10" i="13"/>
  <c r="Q10" i="13" s="1"/>
  <c r="R10" i="13" s="1"/>
  <c r="P9" i="13"/>
  <c r="Q9" i="13" s="1"/>
  <c r="R9" i="13" s="1"/>
  <c r="P8" i="13"/>
  <c r="Q8" i="13" s="1"/>
  <c r="R8" i="13" s="1"/>
  <c r="P6" i="13"/>
  <c r="Q6" i="13" s="1"/>
  <c r="R6" i="13" s="1"/>
  <c r="P16" i="12"/>
  <c r="Q16" i="12" s="1"/>
  <c r="R16" i="12" s="1"/>
  <c r="P15" i="12"/>
  <c r="Q15" i="12" s="1"/>
  <c r="R15" i="12" s="1"/>
  <c r="P14" i="12"/>
  <c r="Q14" i="12" s="1"/>
  <c r="R14" i="12" s="1"/>
  <c r="P13" i="12"/>
  <c r="Q13" i="12" s="1"/>
  <c r="R13" i="12" s="1"/>
  <c r="P12" i="12"/>
  <c r="Q12" i="12" s="1"/>
  <c r="R12" i="12" s="1"/>
  <c r="P11" i="12"/>
  <c r="Q11" i="12" s="1"/>
  <c r="R11" i="12" s="1"/>
  <c r="P10" i="12"/>
  <c r="Q10" i="12" s="1"/>
  <c r="R10" i="12" s="1"/>
  <c r="P9" i="12"/>
  <c r="Q9" i="12" s="1"/>
  <c r="R9" i="12" s="1"/>
  <c r="P8" i="12"/>
  <c r="Q8" i="12" s="1"/>
  <c r="R8" i="12" s="1"/>
  <c r="P6" i="12"/>
  <c r="Q6" i="12" s="1"/>
  <c r="R6" i="12" s="1"/>
  <c r="P16" i="1" l="1"/>
  <c r="Q16" i="1" s="1"/>
  <c r="R16" i="1" s="1"/>
  <c r="P15" i="1"/>
  <c r="Q15" i="1" s="1"/>
  <c r="R15" i="1" s="1"/>
  <c r="P14" i="1"/>
  <c r="Q14" i="1" s="1"/>
  <c r="R14" i="1" s="1"/>
  <c r="P13" i="1"/>
  <c r="Q13" i="1" s="1"/>
  <c r="R13" i="1" s="1"/>
  <c r="P12" i="1"/>
  <c r="Q12" i="1" s="1"/>
  <c r="R12" i="1" s="1"/>
  <c r="P11" i="1"/>
  <c r="Q11" i="1" s="1"/>
  <c r="R11" i="1" s="1"/>
  <c r="P10" i="1"/>
  <c r="Q10" i="1" s="1"/>
  <c r="R10" i="1" s="1"/>
  <c r="P9" i="1"/>
  <c r="Q9" i="1" s="1"/>
  <c r="R9" i="1" s="1"/>
  <c r="P8" i="1"/>
  <c r="Q8" i="1" s="1"/>
  <c r="R8" i="1" s="1"/>
  <c r="P6" i="1"/>
  <c r="Q6" i="1" s="1"/>
  <c r="R6" i="1" s="1"/>
</calcChain>
</file>

<file path=xl/sharedStrings.xml><?xml version="1.0" encoding="utf-8"?>
<sst xmlns="http://schemas.openxmlformats.org/spreadsheetml/2006/main" count="121" uniqueCount="30">
  <si>
    <t>Time Out:</t>
  </si>
  <si>
    <t>Driver:</t>
  </si>
  <si>
    <t>Trailer #:</t>
  </si>
  <si>
    <t>Please Pick Up</t>
  </si>
  <si>
    <t>Wood</t>
  </si>
  <si>
    <t>Kegs</t>
  </si>
  <si>
    <t>Clear</t>
  </si>
  <si>
    <t>Do Not Pick Up</t>
  </si>
  <si>
    <t>Can Bins</t>
  </si>
  <si>
    <t>Cardboard</t>
  </si>
  <si>
    <t>26 Pallet Truck</t>
  </si>
  <si>
    <t>HEIGHT RESTRICTION STORES</t>
  </si>
  <si>
    <r>
      <rPr>
        <b/>
        <u/>
        <sz val="16"/>
        <rFont val="Calibri"/>
        <family val="2"/>
      </rPr>
      <t>TBS # 3119</t>
    </r>
    <r>
      <rPr>
        <sz val="16"/>
        <rFont val="Calibri"/>
        <family val="2"/>
      </rPr>
      <t xml:space="preserve">  </t>
    </r>
    <r>
      <rPr>
        <sz val="10"/>
        <rFont val="Calibri"/>
        <family val="2"/>
      </rPr>
      <t>NO MORE THAN 7 LAYERS &amp; NO SPLIT</t>
    </r>
  </si>
  <si>
    <t>TIER</t>
  </si>
  <si>
    <r>
      <rPr>
        <b/>
        <u/>
        <sz val="16"/>
        <rFont val="Calibri"/>
        <family val="2"/>
      </rPr>
      <t>TBS # 4505</t>
    </r>
    <r>
      <rPr>
        <sz val="16"/>
        <rFont val="Calibri"/>
        <family val="2"/>
      </rPr>
      <t xml:space="preserve"> </t>
    </r>
    <r>
      <rPr>
        <sz val="10"/>
        <rFont val="Calibri"/>
        <family val="2"/>
      </rPr>
      <t xml:space="preserve">NO MORE THAN 7 LAYERS &amp; NO SPLIT  </t>
    </r>
  </si>
  <si>
    <t>KEGS</t>
  </si>
  <si>
    <t>TIER / 7</t>
  </si>
  <si>
    <t>ROUND DOWN</t>
  </si>
  <si>
    <t>PALLET COUNT</t>
  </si>
  <si>
    <t>TIER COUNT</t>
  </si>
  <si>
    <t>Industry Glass</t>
  </si>
  <si>
    <t>4063-3L</t>
  </si>
  <si>
    <t>FIT FACTOR:</t>
  </si>
  <si>
    <t>MINIMIZE BW FACTOR:</t>
  </si>
  <si>
    <t>EVEN WEIGHT FACTOR:</t>
  </si>
  <si>
    <r>
      <rPr>
        <b/>
        <sz val="10"/>
        <rFont val="Calibri"/>
        <family val="2"/>
      </rPr>
      <t>NOTE</t>
    </r>
    <r>
      <rPr>
        <sz val="10"/>
        <rFont val="Calibri"/>
        <family val="2"/>
      </rPr>
      <t>: If ANY factors are given here only 1 sheet will be built in "Input" and
factors left BLANK are given a value of 1</t>
    </r>
  </si>
  <si>
    <t>Mail Address:</t>
  </si>
  <si>
    <t>edwin.chestnut@sleemanbreweries.ca</t>
  </si>
  <si>
    <r>
      <rPr>
        <b/>
        <sz val="10"/>
        <rFont val="Calibri"/>
        <family val="2"/>
      </rPr>
      <t>NOTE</t>
    </r>
    <r>
      <rPr>
        <sz val="10"/>
        <rFont val="Calibri"/>
        <family val="2"/>
      </rPr>
      <t>: The "Mail and Reset Sheets" buttons will send the sheet to this address. Multiple addresses should be sepparated by a comma (",")</t>
    </r>
  </si>
  <si>
    <t>3418-1L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</si>
</sst>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h:mm\ AM/PM;@"/>
    <numFmt numFmtId="165" formatCode="0;[Red]0"/>
    <numFmt numFmtId="166" formatCode="0.0"/>
  </numFmts>
  <fonts count="31" x14ac:knownFonts="1">
    <font>
      <sz val="10"/>
      <name val="Arial"/>
    </font>
    <font>
      <sz val="11"/>
      <color theme="1"/>
      <name val="Palatino Linotype"/>
      <family val="2"/>
      <scheme val="minor"/>
    </font>
    <font>
      <sz val="11"/>
      <color theme="1"/>
      <name val="Palatino Linotype"/>
      <family val="2"/>
      <scheme val="minor"/>
    </font>
    <font>
      <sz val="11"/>
      <color theme="1"/>
      <name val="Palatino Linotype"/>
      <family val="2"/>
      <scheme val="minor"/>
    </font>
    <font>
      <sz val="11"/>
      <color theme="1"/>
      <name val="Palatino Linotype"/>
      <family val="2"/>
      <scheme val="minor"/>
    </font>
    <font>
      <sz val="10"/>
      <name val="Calibri"/>
      <family val="2"/>
    </font>
    <font>
      <sz val="16"/>
      <name val="Calibri"/>
      <family val="2"/>
    </font>
    <font>
      <sz val="8"/>
      <name val="Arial"/>
      <family val="2"/>
    </font>
    <font>
      <sz val="18"/>
      <name val="Calibri"/>
      <family val="2"/>
    </font>
    <font>
      <sz val="18"/>
      <color theme="0"/>
      <name val="Calibri"/>
      <family val="2"/>
    </font>
    <font>
      <b/>
      <u/>
      <sz val="16"/>
      <name val="Calibri"/>
      <family val="2"/>
    </font>
    <font>
      <sz val="20"/>
      <name val="Calibri"/>
      <family val="2"/>
    </font>
    <font>
      <sz val="16"/>
      <color rgb="FFFF0000"/>
      <name val="Calibri"/>
      <family val="2"/>
    </font>
    <font>
      <sz val="16"/>
      <color theme="4"/>
      <name val="Calibri"/>
      <family val="2"/>
    </font>
    <font>
      <sz val="10"/>
      <color rgb="FF000000"/>
      <name val="Arial"/>
      <family val="2"/>
    </font>
    <font>
      <b/>
      <sz val="14"/>
      <name val="Calibri"/>
      <family val="2"/>
    </font>
    <font>
      <sz val="36"/>
      <name val="Calibri"/>
      <family val="2"/>
    </font>
    <font>
      <u/>
      <sz val="22"/>
      <name val="Calibri"/>
      <family val="2"/>
    </font>
    <font>
      <b/>
      <u/>
      <sz val="14"/>
      <name val="Calibri"/>
      <family val="2"/>
    </font>
    <font>
      <sz val="12"/>
      <name val="Calibri"/>
      <family val="2"/>
    </font>
    <font>
      <sz val="16"/>
      <color rgb="FFFF0000"/>
      <name val="Book Antiqua"/>
      <family val="1"/>
    </font>
    <font>
      <b/>
      <sz val="12"/>
      <name val="Calibri"/>
      <family val="2"/>
    </font>
    <font>
      <b/>
      <sz val="16"/>
      <color rgb="FFFF0000"/>
      <name val="Calibri"/>
      <family val="2"/>
    </font>
    <font>
      <b/>
      <sz val="20"/>
      <name val="Calibri"/>
      <family val="2"/>
    </font>
    <font>
      <b/>
      <sz val="10"/>
      <name val="Calibri"/>
      <family val="2"/>
    </font>
    <font>
      <sz val="10"/>
      <name val="Arial"/>
      <family val="2"/>
    </font>
    <font>
      <b/>
      <sz val="16"/>
      <color rgb="FFFF0000"/>
      <name val="Arial"/>
      <family val="2"/>
    </font>
    <font>
      <sz val="14"/>
      <color rgb="FF000000"/>
      <name val="Arial"/>
      <family val="2"/>
    </font>
    <font>
      <b/>
      <sz val="16"/>
      <name val="Calibri"/>
      <family val="2"/>
    </font>
    <font>
      <u/>
      <sz val="10"/>
      <color theme="10"/>
      <name val="Arial"/>
      <family val="2"/>
    </font>
    <font>
      <b/>
      <sz val="16"/>
      <color rgb="FF00B05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">
    <xf numFmtId="0" fontId="0" fillId="0" borderId="0"/>
    <xf numFmtId="0" fontId="25" fillId="0" borderId="0"/>
    <xf numFmtId="0" fontId="4" fillId="0" borderId="0"/>
    <xf numFmtId="0" fontId="3" fillId="0" borderId="0"/>
    <xf numFmtId="0" fontId="2" fillId="0" borderId="0"/>
    <xf numFmtId="0" fontId="2" fillId="0" borderId="0"/>
    <xf numFmtId="0" fontId="29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</cellStyleXfs>
  <cellXfs count="98">
    <xf numFmtId="0" fontId="0" fillId="0" borderId="0" xfId="0"/>
    <xf numFmtId="0" fontId="5" fillId="0" borderId="0" xfId="0" applyFont="1"/>
    <xf numFmtId="0" fontId="5" fillId="0" borderId="1" xfId="0" applyFont="1" applyBorder="1" applyAlignment="1"/>
    <xf numFmtId="0" fontId="5" fillId="0" borderId="0" xfId="0" applyFont="1" applyBorder="1"/>
    <xf numFmtId="0" fontId="5" fillId="0" borderId="7" xfId="0" applyFont="1" applyBorder="1"/>
    <xf numFmtId="0" fontId="5" fillId="0" borderId="8" xfId="0" applyFont="1" applyBorder="1"/>
    <xf numFmtId="0" fontId="6" fillId="0" borderId="0" xfId="0" applyFont="1" applyBorder="1" applyAlignment="1">
      <alignment horizontal="left" vertical="center"/>
    </xf>
    <xf numFmtId="0" fontId="5" fillId="0" borderId="0" xfId="0" applyFont="1" applyBorder="1" applyAlignment="1">
      <alignment horizontal="center" vertical="center" textRotation="180" readingOrder="1"/>
    </xf>
    <xf numFmtId="0" fontId="5" fillId="0" borderId="8" xfId="0" applyFont="1" applyBorder="1" applyAlignment="1">
      <alignment horizontal="center" vertical="center" textRotation="180" readingOrder="1"/>
    </xf>
    <xf numFmtId="0" fontId="5" fillId="0" borderId="9" xfId="0" applyFont="1" applyBorder="1" applyAlignment="1"/>
    <xf numFmtId="0" fontId="5" fillId="0" borderId="10" xfId="0" applyFont="1" applyBorder="1" applyAlignment="1"/>
    <xf numFmtId="0" fontId="5" fillId="2" borderId="2" xfId="0" applyFont="1" applyFill="1" applyBorder="1" applyAlignment="1">
      <alignment horizontal="left" vertical="center"/>
    </xf>
    <xf numFmtId="0" fontId="5" fillId="0" borderId="2" xfId="0" applyFont="1" applyBorder="1" applyAlignment="1">
      <alignment horizontal="left" vertical="center"/>
    </xf>
    <xf numFmtId="1" fontId="13" fillId="0" borderId="0" xfId="0" applyNumberFormat="1" applyFont="1" applyAlignment="1">
      <alignment horizontal="center"/>
    </xf>
    <xf numFmtId="166" fontId="13" fillId="0" borderId="0" xfId="0" applyNumberFormat="1" applyFont="1" applyBorder="1" applyAlignment="1">
      <alignment horizontal="center"/>
    </xf>
    <xf numFmtId="166" fontId="13" fillId="0" borderId="2" xfId="0" applyNumberFormat="1" applyFont="1" applyBorder="1" applyAlignment="1">
      <alignment horizontal="center"/>
    </xf>
    <xf numFmtId="0" fontId="6" fillId="0" borderId="3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8" fillId="0" borderId="8" xfId="0" applyFont="1" applyFill="1" applyBorder="1" applyAlignment="1">
      <alignment vertical="center" wrapText="1"/>
    </xf>
    <xf numFmtId="0" fontId="8" fillId="0" borderId="0" xfId="0" applyFont="1" applyFill="1" applyBorder="1" applyAlignment="1">
      <alignment vertical="center" wrapText="1"/>
    </xf>
    <xf numFmtId="0" fontId="9" fillId="0" borderId="7" xfId="0" applyFont="1" applyFill="1" applyBorder="1" applyAlignment="1">
      <alignment vertical="center" wrapText="1"/>
    </xf>
    <xf numFmtId="0" fontId="9" fillId="0" borderId="8" xfId="0" applyFont="1" applyFill="1" applyBorder="1" applyAlignment="1">
      <alignment vertical="center" wrapText="1"/>
    </xf>
    <xf numFmtId="0" fontId="9" fillId="0" borderId="13" xfId="0" applyFont="1" applyFill="1" applyBorder="1" applyAlignment="1">
      <alignment vertical="center" wrapText="1"/>
    </xf>
    <xf numFmtId="0" fontId="9" fillId="0" borderId="0" xfId="0" applyFont="1" applyFill="1" applyBorder="1" applyAlignment="1">
      <alignment vertical="center" wrapText="1"/>
    </xf>
    <xf numFmtId="0" fontId="9" fillId="0" borderId="6" xfId="0" applyFont="1" applyFill="1" applyBorder="1" applyAlignment="1">
      <alignment vertical="center" wrapText="1"/>
    </xf>
    <xf numFmtId="0" fontId="5" fillId="0" borderId="10" xfId="0" applyFont="1" applyBorder="1"/>
    <xf numFmtId="0" fontId="5" fillId="0" borderId="11" xfId="0" applyFont="1" applyBorder="1"/>
    <xf numFmtId="0" fontId="9" fillId="0" borderId="12" xfId="0" applyFont="1" applyFill="1" applyBorder="1" applyAlignment="1">
      <alignment horizontal="center" vertical="center" wrapText="1"/>
    </xf>
    <xf numFmtId="0" fontId="9" fillId="0" borderId="6" xfId="0" applyFont="1" applyFill="1" applyBorder="1" applyAlignment="1">
      <alignment horizontal="center" vertical="center" wrapText="1"/>
    </xf>
    <xf numFmtId="164" fontId="11" fillId="0" borderId="8" xfId="0" applyNumberFormat="1" applyFont="1" applyFill="1" applyBorder="1" applyAlignment="1">
      <alignment horizontal="center" vertical="center"/>
    </xf>
    <xf numFmtId="165" fontId="6" fillId="0" borderId="0" xfId="0" applyNumberFormat="1" applyFont="1" applyFill="1" applyBorder="1" applyAlignment="1">
      <alignment horizontal="center" vertical="center"/>
    </xf>
    <xf numFmtId="165" fontId="6" fillId="0" borderId="0" xfId="0" applyNumberFormat="1" applyFont="1" applyFill="1" applyBorder="1" applyAlignment="1">
      <alignment horizontal="center" vertical="center" wrapText="1"/>
    </xf>
    <xf numFmtId="165" fontId="19" fillId="0" borderId="0" xfId="0" applyNumberFormat="1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23" fillId="0" borderId="0" xfId="0" applyFont="1" applyAlignment="1">
      <alignment horizontal="right" vertical="center"/>
    </xf>
    <xf numFmtId="0" fontId="6" fillId="0" borderId="2" xfId="0" applyFont="1" applyBorder="1" applyAlignment="1">
      <alignment horizontal="center" vertical="center" wrapText="1"/>
    </xf>
    <xf numFmtId="49" fontId="5" fillId="0" borderId="0" xfId="0" applyNumberFormat="1" applyFont="1" applyAlignment="1">
      <alignment wrapText="1"/>
    </xf>
    <xf numFmtId="0" fontId="6" fillId="0" borderId="2" xfId="0" applyFont="1" applyBorder="1" applyAlignment="1">
      <alignment horizontal="center" vertical="center" wrapText="1"/>
    </xf>
    <xf numFmtId="1" fontId="20" fillId="0" borderId="0" xfId="0" applyNumberFormat="1" applyFont="1" applyBorder="1" applyAlignment="1">
      <alignment horizontal="center" vertical="center"/>
    </xf>
    <xf numFmtId="1" fontId="12" fillId="0" borderId="0" xfId="0" applyNumberFormat="1" applyFont="1" applyFill="1" applyBorder="1" applyAlignment="1">
      <alignment horizontal="center" vertical="center"/>
    </xf>
    <xf numFmtId="165" fontId="6" fillId="4" borderId="2" xfId="0" applyNumberFormat="1" applyFont="1" applyFill="1" applyBorder="1" applyAlignment="1">
      <alignment horizontal="center" vertical="center" wrapText="1"/>
    </xf>
    <xf numFmtId="49" fontId="11" fillId="4" borderId="14" xfId="0" applyNumberFormat="1" applyFont="1" applyFill="1" applyBorder="1" applyAlignment="1">
      <alignment horizontal="center" vertical="center"/>
    </xf>
    <xf numFmtId="0" fontId="11" fillId="4" borderId="15" xfId="0" applyFont="1" applyFill="1" applyBorder="1" applyAlignment="1">
      <alignment horizontal="center" vertical="center"/>
    </xf>
    <xf numFmtId="164" fontId="11" fillId="4" borderId="15" xfId="0" applyNumberFormat="1" applyFont="1" applyFill="1" applyBorder="1" applyAlignment="1">
      <alignment horizontal="center" vertical="center"/>
    </xf>
    <xf numFmtId="0" fontId="5" fillId="2" borderId="16" xfId="0" applyFont="1" applyFill="1" applyBorder="1" applyAlignment="1">
      <alignment horizontal="left" vertical="center"/>
    </xf>
    <xf numFmtId="0" fontId="6" fillId="0" borderId="16" xfId="0" applyFont="1" applyBorder="1" applyAlignment="1">
      <alignment horizontal="center" vertical="center" wrapText="1"/>
    </xf>
    <xf numFmtId="165" fontId="6" fillId="4" borderId="17" xfId="1" applyNumberFormat="1" applyFont="1" applyFill="1" applyBorder="1" applyAlignment="1">
      <alignment horizontal="center" vertical="center" wrapText="1"/>
    </xf>
    <xf numFmtId="165" fontId="6" fillId="4" borderId="18" xfId="0" applyNumberFormat="1" applyFont="1" applyFill="1" applyBorder="1" applyAlignment="1">
      <alignment horizontal="center" vertical="center" wrapText="1"/>
    </xf>
    <xf numFmtId="165" fontId="6" fillId="4" borderId="19" xfId="0" applyNumberFormat="1" applyFont="1" applyFill="1" applyBorder="1" applyAlignment="1">
      <alignment horizontal="center" vertical="center" wrapText="1"/>
    </xf>
    <xf numFmtId="0" fontId="5" fillId="5" borderId="0" xfId="0" applyFont="1" applyFill="1"/>
    <xf numFmtId="0" fontId="24" fillId="0" borderId="0" xfId="0" applyFont="1"/>
    <xf numFmtId="0" fontId="25" fillId="0" borderId="0" xfId="0" applyFont="1"/>
    <xf numFmtId="49" fontId="5" fillId="0" borderId="4" xfId="0" applyNumberFormat="1" applyFont="1" applyBorder="1" applyAlignment="1">
      <alignment wrapText="1"/>
    </xf>
    <xf numFmtId="0" fontId="29" fillId="0" borderId="20" xfId="6" applyBorder="1"/>
    <xf numFmtId="0" fontId="28" fillId="0" borderId="5" xfId="0" applyFont="1" applyBorder="1" applyAlignment="1">
      <alignment horizontal="right" vertical="center"/>
    </xf>
    <xf numFmtId="165" fontId="6" fillId="4" borderId="18" xfId="1" applyNumberFormat="1" applyFont="1" applyFill="1" applyBorder="1" applyAlignment="1">
      <alignment horizontal="center" vertical="center" wrapText="1"/>
    </xf>
    <xf numFmtId="165" fontId="6" fillId="4" borderId="21" xfId="0" applyNumberFormat="1" applyFont="1" applyFill="1" applyBorder="1" applyAlignment="1">
      <alignment horizontal="center" vertical="center" wrapText="1"/>
    </xf>
    <xf numFmtId="165" fontId="6" fillId="4" borderId="22" xfId="0" applyNumberFormat="1" applyFont="1" applyFill="1" applyBorder="1" applyAlignment="1">
      <alignment horizontal="center" vertical="center" wrapText="1"/>
    </xf>
    <xf numFmtId="165" fontId="6" fillId="4" borderId="23" xfId="0" applyNumberFormat="1" applyFont="1" applyFill="1" applyBorder="1" applyAlignment="1">
      <alignment horizontal="center" vertical="center"/>
    </xf>
    <xf numFmtId="165" fontId="6" fillId="4" borderId="23" xfId="0" applyNumberFormat="1" applyFont="1" applyFill="1" applyBorder="1" applyAlignment="1">
      <alignment horizontal="center" vertical="center" wrapText="1"/>
    </xf>
    <xf numFmtId="165" fontId="6" fillId="4" borderId="24" xfId="0" applyNumberFormat="1" applyFont="1" applyFill="1" applyBorder="1" applyAlignment="1">
      <alignment horizontal="center" vertical="center"/>
    </xf>
    <xf numFmtId="165" fontId="6" fillId="4" borderId="24" xfId="0" applyNumberFormat="1" applyFont="1" applyFill="1" applyBorder="1" applyAlignment="1">
      <alignment horizontal="center" vertical="center" wrapText="1"/>
    </xf>
    <xf numFmtId="1" fontId="22" fillId="4" borderId="25" xfId="0" applyNumberFormat="1" applyFont="1" applyFill="1" applyBorder="1" applyAlignment="1">
      <alignment horizontal="center" vertical="center"/>
    </xf>
    <xf numFmtId="165" fontId="6" fillId="4" borderId="25" xfId="0" applyNumberFormat="1" applyFont="1" applyFill="1" applyBorder="1" applyAlignment="1">
      <alignment horizontal="center" vertical="center"/>
    </xf>
    <xf numFmtId="1" fontId="20" fillId="4" borderId="25" xfId="0" applyNumberFormat="1" applyFont="1" applyFill="1" applyBorder="1" applyAlignment="1">
      <alignment horizontal="center" vertical="center"/>
    </xf>
    <xf numFmtId="2" fontId="12" fillId="4" borderId="25" xfId="0" applyNumberFormat="1" applyFont="1" applyFill="1" applyBorder="1" applyAlignment="1">
      <alignment horizontal="center" vertical="center"/>
    </xf>
    <xf numFmtId="1" fontId="26" fillId="4" borderId="25" xfId="0" applyNumberFormat="1" applyFont="1" applyFill="1" applyBorder="1" applyAlignment="1">
      <alignment horizontal="center" vertical="center"/>
    </xf>
    <xf numFmtId="1" fontId="12" fillId="4" borderId="25" xfId="0" applyNumberFormat="1" applyFont="1" applyFill="1" applyBorder="1" applyAlignment="1">
      <alignment horizontal="center" vertical="center"/>
    </xf>
    <xf numFmtId="165" fontId="12" fillId="4" borderId="25" xfId="1" applyNumberFormat="1" applyFont="1" applyFill="1" applyBorder="1" applyAlignment="1">
      <alignment horizontal="center" vertical="center"/>
    </xf>
    <xf numFmtId="49" fontId="12" fillId="4" borderId="25" xfId="0" applyNumberFormat="1" applyFont="1" applyFill="1" applyBorder="1" applyAlignment="1">
      <alignment horizontal="center" vertical="center"/>
    </xf>
    <xf numFmtId="165" fontId="30" fillId="4" borderId="25" xfId="0" applyNumberFormat="1" applyFont="1" applyFill="1" applyBorder="1" applyAlignment="1">
      <alignment horizontal="center" vertical="center"/>
    </xf>
    <xf numFmtId="0" fontId="8" fillId="3" borderId="9" xfId="0" applyFont="1" applyFill="1" applyBorder="1" applyAlignment="1">
      <alignment horizontal="center" vertical="center" wrapText="1"/>
    </xf>
    <xf numFmtId="0" fontId="8" fillId="3" borderId="10" xfId="0" applyFont="1" applyFill="1" applyBorder="1" applyAlignment="1">
      <alignment horizontal="center" vertical="center" wrapText="1"/>
    </xf>
    <xf numFmtId="0" fontId="8" fillId="3" borderId="11" xfId="0" applyFont="1" applyFill="1" applyBorder="1" applyAlignment="1">
      <alignment horizontal="center" vertical="center" wrapText="1"/>
    </xf>
    <xf numFmtId="0" fontId="8" fillId="3" borderId="12" xfId="0" applyFont="1" applyFill="1" applyBorder="1" applyAlignment="1">
      <alignment horizontal="center" vertical="center" wrapText="1"/>
    </xf>
    <xf numFmtId="0" fontId="8" fillId="3" borderId="6" xfId="0" applyFont="1" applyFill="1" applyBorder="1" applyAlignment="1">
      <alignment horizontal="center" vertical="center" wrapText="1"/>
    </xf>
    <xf numFmtId="0" fontId="8" fillId="3" borderId="13" xfId="0" applyFont="1" applyFill="1" applyBorder="1" applyAlignment="1">
      <alignment horizontal="center" vertical="center" wrapText="1"/>
    </xf>
    <xf numFmtId="0" fontId="16" fillId="3" borderId="9" xfId="0" applyFont="1" applyFill="1" applyBorder="1" applyAlignment="1">
      <alignment horizontal="center" vertical="center"/>
    </xf>
    <xf numFmtId="0" fontId="16" fillId="3" borderId="10" xfId="0" applyFont="1" applyFill="1" applyBorder="1" applyAlignment="1">
      <alignment horizontal="center" vertical="center"/>
    </xf>
    <xf numFmtId="0" fontId="16" fillId="3" borderId="11" xfId="0" applyFont="1" applyFill="1" applyBorder="1" applyAlignment="1">
      <alignment horizontal="center" vertical="center"/>
    </xf>
    <xf numFmtId="0" fontId="5" fillId="0" borderId="12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17" fillId="3" borderId="16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textRotation="180" readingOrder="1"/>
    </xf>
    <xf numFmtId="0" fontId="5" fillId="0" borderId="3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17" fillId="3" borderId="3" xfId="0" applyFont="1" applyFill="1" applyBorder="1" applyAlignment="1">
      <alignment horizontal="center" vertical="center"/>
    </xf>
    <xf numFmtId="0" fontId="17" fillId="3" borderId="5" xfId="0" applyFont="1" applyFill="1" applyBorder="1" applyAlignment="1">
      <alignment horizontal="center" vertical="center"/>
    </xf>
    <xf numFmtId="0" fontId="18" fillId="3" borderId="16" xfId="0" applyFont="1" applyFill="1" applyBorder="1" applyAlignment="1">
      <alignment horizontal="center" vertical="center" wrapText="1"/>
    </xf>
    <xf numFmtId="0" fontId="6" fillId="0" borderId="16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top" wrapText="1"/>
    </xf>
    <xf numFmtId="0" fontId="21" fillId="3" borderId="2" xfId="0" applyFont="1" applyFill="1" applyBorder="1" applyAlignment="1">
      <alignment horizontal="center" wrapText="1"/>
    </xf>
    <xf numFmtId="0" fontId="15" fillId="3" borderId="2" xfId="0" applyFont="1" applyFill="1" applyBorder="1" applyAlignment="1">
      <alignment horizontal="center"/>
    </xf>
    <xf numFmtId="0" fontId="18" fillId="3" borderId="2" xfId="0" applyFont="1" applyFill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15" fillId="5" borderId="2" xfId="0" applyFont="1" applyFill="1" applyBorder="1" applyAlignment="1">
      <alignment horizontal="center"/>
    </xf>
    <xf numFmtId="0" fontId="17" fillId="3" borderId="2" xfId="0" applyFont="1" applyFill="1" applyBorder="1" applyAlignment="1">
      <alignment horizontal="center" vertical="center" wrapText="1"/>
    </xf>
  </cellXfs>
  <cellStyles count="11">
    <cellStyle name="Hyperlink" xfId="6" builtinId="8"/>
    <cellStyle name="Normal" xfId="0" builtinId="0"/>
    <cellStyle name="Normal 2" xfId="1" xr:uid="{00000000-0005-0000-0000-000001000000}"/>
    <cellStyle name="Normal 3" xfId="2" xr:uid="{00000000-0005-0000-0000-000002000000}"/>
    <cellStyle name="Normal 3 2" xfId="3" xr:uid="{00000000-0005-0000-0000-000003000000}"/>
    <cellStyle name="Normal 3 2 2" xfId="5" xr:uid="{99126B87-9A51-4102-A528-A37179ED6710}"/>
    <cellStyle name="Normal 3 2 2 2" xfId="10" xr:uid="{E6C0A4E1-1B10-433D-8E34-2B26F027A636}"/>
    <cellStyle name="Normal 3 2 3" xfId="8" xr:uid="{F0BAD09E-FEA9-41C0-A29B-76B58E95CCCC}"/>
    <cellStyle name="Normal 3 3" xfId="4" xr:uid="{7016E039-CADB-4EA3-865D-3E42996730C9}"/>
    <cellStyle name="Normal 3 3 2" xfId="9" xr:uid="{3CFFC0EF-9580-41C2-81E7-4D59DB5B153A}"/>
    <cellStyle name="Normal 3 4" xfId="7" xr:uid="{005B7B80-47E7-4648-8FA1-14B9F68603C1}"/>
  </cellStyles>
  <dxfs count="216"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</dxfs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152400</xdr:colOff>
      <xdr:row>7</xdr:row>
      <xdr:rowOff>371475</xdr:rowOff>
    </xdr:from>
    <xdr:to>
      <xdr:col>4</xdr:col>
      <xdr:colOff>495300</xdr:colOff>
      <xdr:row>16</xdr:row>
      <xdr:rowOff>0</xdr:rowOff>
    </xdr:to>
    <xdr:sp macro="" textlink="">
      <xdr:nvSpPr>
        <xdr:cNvPr id="1033" name="AutoShape 1">
          <a:extLst>
            <a:ext uri="{FF2B5EF4-FFF2-40B4-BE49-F238E27FC236}">
              <a16:creationId xmlns:a16="http://schemas.microsoft.com/office/drawing/2014/main" id="{00000000-0008-0000-0000-000009040000}"/>
            </a:ext>
          </a:extLst>
        </xdr:cNvPr>
        <xdr:cNvSpPr>
          <a:spLocks noChangeArrowheads="1"/>
        </xdr:cNvSpPr>
      </xdr:nvSpPr>
      <xdr:spPr bwMode="auto">
        <a:xfrm rot="5400000">
          <a:off x="928687" y="6529388"/>
          <a:ext cx="5876925" cy="342900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43208067 h 21600"/>
            <a:gd name="T4" fmla="*/ 2147483647 w 21600"/>
            <a:gd name="T5" fmla="*/ 86416134 h 21600"/>
            <a:gd name="T6" fmla="*/ 2147483647 w 21600"/>
            <a:gd name="T7" fmla="*/ 4320806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28575</xdr:colOff>
      <xdr:row>3</xdr:row>
      <xdr:rowOff>19050</xdr:rowOff>
    </xdr:from>
    <xdr:to>
      <xdr:col>5</xdr:col>
      <xdr:colOff>0</xdr:colOff>
      <xdr:row>7</xdr:row>
      <xdr:rowOff>285750</xdr:rowOff>
    </xdr:to>
    <xdr:sp macro="" textlink="">
      <xdr:nvSpPr>
        <xdr:cNvPr id="1026" name="WordArt 2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>
          <a:spLocks noChangeArrowheads="1" noChangeShapeType="1" noTextEdit="1"/>
        </xdr:cNvSpPr>
      </xdr:nvSpPr>
      <xdr:spPr bwMode="auto">
        <a:xfrm rot="5400000">
          <a:off x="3044598" y="1629455"/>
          <a:ext cx="2498272" cy="502104"/>
        </a:xfrm>
        <a:prstGeom prst="rect">
          <a:avLst/>
        </a:prstGeom>
      </xdr:spPr>
      <xdr:txBody>
        <a:bodyPr vert="wordArtVert"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 fontAlgn="auto"/>
          <a:r>
            <a:rPr lang="en-US" sz="3600" kern="10" spc="0">
              <a:ln w="12700">
                <a:solidFill>
                  <a:srgbClr val="000000"/>
                </a:solidFill>
                <a:round/>
                <a:headEnd/>
                <a:tailEnd/>
              </a:ln>
              <a:solidFill>
                <a:srgbClr val="C0C0C0"/>
              </a:solidFill>
              <a:effectLst>
                <a:outerShdw dist="53882" dir="2700000" algn="ctr" rotWithShape="0">
                  <a:srgbClr val="CBCBCB">
                    <a:alpha val="80000"/>
                  </a:srgbClr>
                </a:outerShdw>
              </a:effectLst>
              <a:latin typeface="Calibri"/>
            </a:rPr>
            <a:t>Crossways</a:t>
          </a:r>
        </a:p>
      </xdr:txBody>
    </xdr:sp>
    <xdr:clientData/>
  </xdr:twoCellAnchor>
  <xdr:twoCellAnchor>
    <xdr:from>
      <xdr:col>0</xdr:col>
      <xdr:colOff>107157</xdr:colOff>
      <xdr:row>8</xdr:row>
      <xdr:rowOff>107156</xdr:rowOff>
    </xdr:from>
    <xdr:to>
      <xdr:col>0</xdr:col>
      <xdr:colOff>450057</xdr:colOff>
      <xdr:row>16</xdr:row>
      <xdr:rowOff>0</xdr:rowOff>
    </xdr:to>
    <xdr:sp macro="" textlink="">
      <xdr:nvSpPr>
        <xdr:cNvPr id="5" name="AutoShape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 rot="5400000">
          <a:off x="-1899387" y="5515486"/>
          <a:ext cx="4355987" cy="342900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43208067 h 21600"/>
            <a:gd name="T4" fmla="*/ 2147483647 w 21600"/>
            <a:gd name="T5" fmla="*/ 86416134 h 21600"/>
            <a:gd name="T6" fmla="*/ 2147483647 w 21600"/>
            <a:gd name="T7" fmla="*/ 4320806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2</xdr:row>
      <xdr:rowOff>35718</xdr:rowOff>
    </xdr:from>
    <xdr:to>
      <xdr:col>0</xdr:col>
      <xdr:colOff>578644</xdr:colOff>
      <xdr:row>7</xdr:row>
      <xdr:rowOff>523874</xdr:rowOff>
    </xdr:to>
    <xdr:sp macro="" textlink="">
      <xdr:nvSpPr>
        <xdr:cNvPr id="6" name="WordArt 2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 noChangeShapeType="1" noTextEdit="1"/>
        </xdr:cNvSpPr>
      </xdr:nvSpPr>
      <xdr:spPr bwMode="auto">
        <a:xfrm rot="5400000">
          <a:off x="-1067991" y="1675209"/>
          <a:ext cx="2714625" cy="578644"/>
        </a:xfrm>
        <a:prstGeom prst="rect">
          <a:avLst/>
        </a:prstGeom>
      </xdr:spPr>
      <xdr:txBody>
        <a:bodyPr vert="wordArtVert"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 fontAlgn="auto"/>
          <a:r>
            <a:rPr lang="en-US" sz="3600" kern="10" spc="0">
              <a:ln w="12700">
                <a:solidFill>
                  <a:srgbClr val="000000"/>
                </a:solidFill>
                <a:round/>
                <a:headEnd/>
                <a:tailEnd/>
              </a:ln>
              <a:solidFill>
                <a:srgbClr val="C0C0C0"/>
              </a:solidFill>
              <a:effectLst>
                <a:outerShdw dist="53882" dir="2700000" algn="ctr" rotWithShape="0">
                  <a:srgbClr val="CBCBCB">
                    <a:alpha val="80000"/>
                  </a:srgbClr>
                </a:outerShdw>
              </a:effectLst>
              <a:latin typeface="Calibri"/>
            </a:rPr>
            <a:t>Crossways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24</xdr:row>
          <xdr:rowOff>228600</xdr:rowOff>
        </xdr:from>
        <xdr:to>
          <xdr:col>7</xdr:col>
          <xdr:colOff>1060450</xdr:colOff>
          <xdr:row>85</xdr:row>
          <xdr:rowOff>152400</xdr:rowOff>
        </xdr:to>
        <xdr:sp macro="" textlink="">
          <xdr:nvSpPr>
            <xdr:cNvPr id="5125" name="Object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127000</xdr:colOff>
          <xdr:row>0</xdr:row>
          <xdr:rowOff>0</xdr:rowOff>
        </xdr:from>
        <xdr:to>
          <xdr:col>11</xdr:col>
          <xdr:colOff>12700</xdr:colOff>
          <xdr:row>2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12700</xdr:colOff>
          <xdr:row>0</xdr:row>
          <xdr:rowOff>0</xdr:rowOff>
        </xdr:from>
        <xdr:to>
          <xdr:col>13</xdr:col>
          <xdr:colOff>19050</xdr:colOff>
          <xdr:row>2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Font 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0</xdr:row>
          <xdr:rowOff>0</xdr:rowOff>
        </xdr:from>
        <xdr:to>
          <xdr:col>18</xdr:col>
          <xdr:colOff>184150</xdr:colOff>
          <xdr:row>2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0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B/W 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209550</xdr:colOff>
          <xdr:row>0</xdr:row>
          <xdr:rowOff>0</xdr:rowOff>
        </xdr:from>
        <xdr:to>
          <xdr:col>20</xdr:col>
          <xdr:colOff>381000</xdr:colOff>
          <xdr:row>2</xdr:row>
          <xdr:rowOff>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0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B/W's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7327</xdr:colOff>
      <xdr:row>17</xdr:row>
      <xdr:rowOff>10583</xdr:rowOff>
    </xdr:from>
    <xdr:to>
      <xdr:col>2</xdr:col>
      <xdr:colOff>113161</xdr:colOff>
      <xdr:row>18</xdr:row>
      <xdr:rowOff>10585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327" y="8224064"/>
          <a:ext cx="2355199" cy="278425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400" b="1">
              <a:solidFill>
                <a:sysClr val="windowText" lastClr="000000"/>
              </a:solidFill>
              <a:latin typeface="Calibri" panose="020F0502020204030204" pitchFamily="34" charset="0"/>
            </a:rPr>
            <a:t>            STORE</a:t>
          </a:r>
        </a:p>
      </xdr:txBody>
    </xdr:sp>
    <xdr:clientData/>
  </xdr:twoCellAnchor>
  <xdr:twoCellAnchor>
    <xdr:from>
      <xdr:col>0</xdr:col>
      <xdr:colOff>14821</xdr:colOff>
      <xdr:row>18</xdr:row>
      <xdr:rowOff>7484</xdr:rowOff>
    </xdr:from>
    <xdr:to>
      <xdr:col>2</xdr:col>
      <xdr:colOff>120655</xdr:colOff>
      <xdr:row>19</xdr:row>
      <xdr:rowOff>7485</xdr:rowOff>
    </xdr:to>
    <xdr:sp macro="" textlink="J6">
      <xdr:nvSpPr>
        <xdr:cNvPr id="15" name="Rectangl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4821" y="8452984"/>
          <a:ext cx="2349501" cy="275168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C7A22CCE-BDF5-4759-B16C-B3AA09B38B77}" type="TxLink">
            <a:rPr lang="en-US" sz="1600" b="0" i="0" u="none" strike="noStrike">
              <a:solidFill>
                <a:srgbClr val="000000"/>
              </a:solidFill>
              <a:latin typeface="Calibri"/>
            </a:rPr>
            <a:pPr algn="l"/>
            <a:t> </a:t>
          </a:fld>
          <a:endParaRPr lang="en-US"/>
        </a:p>
      </xdr:txBody>
    </xdr:sp>
    <xdr:clientData/>
  </xdr:twoCellAnchor>
  <xdr:twoCellAnchor>
    <xdr:from>
      <xdr:col>0</xdr:col>
      <xdr:colOff>7327</xdr:colOff>
      <xdr:row>19</xdr:row>
      <xdr:rowOff>7327</xdr:rowOff>
    </xdr:from>
    <xdr:to>
      <xdr:col>2</xdr:col>
      <xdr:colOff>113161</xdr:colOff>
      <xdr:row>20</xdr:row>
      <xdr:rowOff>7329</xdr:rowOff>
    </xdr:to>
    <xdr:sp macro="" textlink="J7">
      <xdr:nvSpPr>
        <xdr:cNvPr id="16" name="Rectangl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7327" y="8727994"/>
          <a:ext cx="2349501" cy="275168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A11B82E9-0BBF-4254-869C-6A9304DADAFC}" type="TxLink">
            <a:rPr lang="en-US" sz="1600" b="0" i="0" u="none" strike="noStrike">
              <a:solidFill>
                <a:srgbClr val="000000"/>
              </a:solidFill>
              <a:latin typeface="Calibri"/>
            </a:rPr>
            <a:pPr algn="l"/>
            <a:t> </a:t>
          </a:fld>
          <a:endParaRPr lang="en-CA" sz="1100"/>
        </a:p>
      </xdr:txBody>
    </xdr:sp>
    <xdr:clientData/>
  </xdr:twoCellAnchor>
  <xdr:twoCellAnchor>
    <xdr:from>
      <xdr:col>0</xdr:col>
      <xdr:colOff>7327</xdr:colOff>
      <xdr:row>20</xdr:row>
      <xdr:rowOff>0</xdr:rowOff>
    </xdr:from>
    <xdr:to>
      <xdr:col>2</xdr:col>
      <xdr:colOff>113161</xdr:colOff>
      <xdr:row>21</xdr:row>
      <xdr:rowOff>2</xdr:rowOff>
    </xdr:to>
    <xdr:sp macro="" textlink="J8">
      <xdr:nvSpPr>
        <xdr:cNvPr id="17" name="Rectangl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7327" y="9048750"/>
          <a:ext cx="2355199" cy="278425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32612FD-2E94-4129-84ED-29B699FEA439}" type="TxLink">
            <a:rPr lang="en-US" sz="1600" b="0" i="0" u="none" strike="noStrike">
              <a:solidFill>
                <a:srgbClr val="000000"/>
              </a:solidFill>
              <a:latin typeface="Calibri"/>
            </a:rPr>
            <a:pPr algn="l"/>
            <a:t> </a:t>
          </a:fld>
          <a:endParaRPr lang="en-CA" sz="1100"/>
        </a:p>
      </xdr:txBody>
    </xdr:sp>
    <xdr:clientData/>
  </xdr:twoCellAnchor>
  <xdr:twoCellAnchor>
    <xdr:from>
      <xdr:col>0</xdr:col>
      <xdr:colOff>7327</xdr:colOff>
      <xdr:row>20</xdr:row>
      <xdr:rowOff>263769</xdr:rowOff>
    </xdr:from>
    <xdr:to>
      <xdr:col>2</xdr:col>
      <xdr:colOff>113161</xdr:colOff>
      <xdr:row>22</xdr:row>
      <xdr:rowOff>2</xdr:rowOff>
    </xdr:to>
    <xdr:sp macro="" textlink="J9">
      <xdr:nvSpPr>
        <xdr:cNvPr id="18" name="Rectangl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7327" y="9312519"/>
          <a:ext cx="2355199" cy="278425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41C93F7D-068A-4977-9B9E-596EDF0FEDE2}" type="TxLink">
            <a:rPr lang="en-US" sz="1600" b="0" i="0" u="none" strike="noStrike">
              <a:solidFill>
                <a:srgbClr val="000000"/>
              </a:solidFill>
              <a:latin typeface="Calibri"/>
            </a:rPr>
            <a:pPr algn="l"/>
            <a:t> </a:t>
          </a:fld>
          <a:endParaRPr lang="en-CA" sz="1100"/>
        </a:p>
      </xdr:txBody>
    </xdr:sp>
    <xdr:clientData/>
  </xdr:twoCellAnchor>
  <xdr:twoCellAnchor>
    <xdr:from>
      <xdr:col>0</xdr:col>
      <xdr:colOff>7327</xdr:colOff>
      <xdr:row>21</xdr:row>
      <xdr:rowOff>256442</xdr:rowOff>
    </xdr:from>
    <xdr:to>
      <xdr:col>2</xdr:col>
      <xdr:colOff>113161</xdr:colOff>
      <xdr:row>23</xdr:row>
      <xdr:rowOff>7328</xdr:rowOff>
    </xdr:to>
    <xdr:sp macro="" textlink="J10">
      <xdr:nvSpPr>
        <xdr:cNvPr id="19" name="Rectangl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7327" y="9583615"/>
          <a:ext cx="2355199" cy="278425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642FBC32-838D-47F2-854B-9618AD83DB89}" type="TxLink">
            <a:rPr lang="en-US" sz="1600" b="0" i="0" u="none" strike="noStrike">
              <a:solidFill>
                <a:srgbClr val="000000"/>
              </a:solidFill>
              <a:latin typeface="Calibri"/>
            </a:rPr>
            <a:pPr algn="l"/>
            <a:t> </a:t>
          </a:fld>
          <a:endParaRPr lang="en-CA" sz="1100"/>
        </a:p>
      </xdr:txBody>
    </xdr:sp>
    <xdr:clientData/>
  </xdr:twoCellAnchor>
  <xdr:twoCellAnchor>
    <xdr:from>
      <xdr:col>2</xdr:col>
      <xdr:colOff>115766</xdr:colOff>
      <xdr:row>17</xdr:row>
      <xdr:rowOff>9117</xdr:rowOff>
    </xdr:from>
    <xdr:to>
      <xdr:col>5</xdr:col>
      <xdr:colOff>162984</xdr:colOff>
      <xdr:row>18</xdr:row>
      <xdr:rowOff>9119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2360945" y="8146188"/>
          <a:ext cx="2346825" cy="272145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400" b="1">
              <a:solidFill>
                <a:sysClr val="windowText" lastClr="000000"/>
              </a:solidFill>
              <a:latin typeface="Calibri" panose="020F0502020204030204" pitchFamily="34" charset="0"/>
            </a:rPr>
            <a:t>            STORE</a:t>
          </a:r>
        </a:p>
      </xdr:txBody>
    </xdr:sp>
    <xdr:clientData/>
  </xdr:twoCellAnchor>
  <xdr:twoCellAnchor>
    <xdr:from>
      <xdr:col>2</xdr:col>
      <xdr:colOff>120004</xdr:colOff>
      <xdr:row>18</xdr:row>
      <xdr:rowOff>6020</xdr:rowOff>
    </xdr:from>
    <xdr:to>
      <xdr:col>5</xdr:col>
      <xdr:colOff>161192</xdr:colOff>
      <xdr:row>19</xdr:row>
      <xdr:rowOff>6021</xdr:rowOff>
    </xdr:to>
    <xdr:sp macro="" textlink="J11">
      <xdr:nvSpPr>
        <xdr:cNvPr id="21" name="Rectangl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2369369" y="8497924"/>
          <a:ext cx="2349169" cy="278424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EA806444-D5AE-4883-8062-A607C16C4C30}" type="TxLink">
            <a:rPr lang="en-US" sz="1600" b="0" i="0" u="none" strike="noStrike">
              <a:solidFill>
                <a:srgbClr val="000000"/>
              </a:solidFill>
              <a:latin typeface="Calibri"/>
            </a:rPr>
            <a:pPr algn="l"/>
            <a:t> </a:t>
          </a:fld>
          <a:endParaRPr lang="en-CA" sz="1100"/>
        </a:p>
      </xdr:txBody>
    </xdr:sp>
    <xdr:clientData/>
  </xdr:twoCellAnchor>
  <xdr:twoCellAnchor>
    <xdr:from>
      <xdr:col>2</xdr:col>
      <xdr:colOff>115766</xdr:colOff>
      <xdr:row>19</xdr:row>
      <xdr:rowOff>5861</xdr:rowOff>
    </xdr:from>
    <xdr:to>
      <xdr:col>5</xdr:col>
      <xdr:colOff>162984</xdr:colOff>
      <xdr:row>20</xdr:row>
      <xdr:rowOff>5863</xdr:rowOff>
    </xdr:to>
    <xdr:sp macro="" textlink="J12">
      <xdr:nvSpPr>
        <xdr:cNvPr id="22" name="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2365131" y="8776188"/>
          <a:ext cx="2355199" cy="278425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FE9C106C-A7EE-4520-B223-12B3EBD6EA33}" type="TxLink">
            <a:rPr lang="en-US" sz="1600" b="0" i="0" u="none" strike="noStrike">
              <a:solidFill>
                <a:srgbClr val="000000"/>
              </a:solidFill>
              <a:latin typeface="Calibri"/>
            </a:rPr>
            <a:pPr algn="l"/>
            <a:t> </a:t>
          </a:fld>
          <a:endParaRPr lang="en-CA" sz="1100"/>
        </a:p>
      </xdr:txBody>
    </xdr:sp>
    <xdr:clientData/>
  </xdr:twoCellAnchor>
  <xdr:twoCellAnchor>
    <xdr:from>
      <xdr:col>2</xdr:col>
      <xdr:colOff>115766</xdr:colOff>
      <xdr:row>19</xdr:row>
      <xdr:rowOff>276957</xdr:rowOff>
    </xdr:from>
    <xdr:to>
      <xdr:col>5</xdr:col>
      <xdr:colOff>162984</xdr:colOff>
      <xdr:row>20</xdr:row>
      <xdr:rowOff>276959</xdr:rowOff>
    </xdr:to>
    <xdr:sp macro="" textlink="J13">
      <xdr:nvSpPr>
        <xdr:cNvPr id="23" name="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2365131" y="9047284"/>
          <a:ext cx="2355199" cy="278425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C8730058-CE1B-45B2-89FD-07200EC1E5AE}" type="TxLink">
            <a:rPr lang="en-US" sz="1600" b="0" i="0" u="none" strike="noStrike">
              <a:solidFill>
                <a:srgbClr val="000000"/>
              </a:solidFill>
              <a:latin typeface="Calibri"/>
            </a:rPr>
            <a:pPr algn="l"/>
            <a:t> </a:t>
          </a:fld>
          <a:endParaRPr lang="en-CA" sz="1100"/>
        </a:p>
      </xdr:txBody>
    </xdr:sp>
    <xdr:clientData/>
  </xdr:twoCellAnchor>
  <xdr:twoCellAnchor>
    <xdr:from>
      <xdr:col>2</xdr:col>
      <xdr:colOff>115766</xdr:colOff>
      <xdr:row>20</xdr:row>
      <xdr:rowOff>262303</xdr:rowOff>
    </xdr:from>
    <xdr:to>
      <xdr:col>5</xdr:col>
      <xdr:colOff>162984</xdr:colOff>
      <xdr:row>21</xdr:row>
      <xdr:rowOff>262305</xdr:rowOff>
    </xdr:to>
    <xdr:sp macro="" textlink="J14">
      <xdr:nvSpPr>
        <xdr:cNvPr id="24" name="Rectangl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365131" y="9311053"/>
          <a:ext cx="2355199" cy="278425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765F1B76-A637-439E-AEC0-2F90D4833248}" type="TxLink">
            <a:rPr lang="en-US" sz="1600" b="0" i="0" u="none" strike="noStrike">
              <a:solidFill>
                <a:srgbClr val="000000"/>
              </a:solidFill>
              <a:latin typeface="Calibri"/>
            </a:rPr>
            <a:pPr algn="l"/>
            <a:t> </a:t>
          </a:fld>
          <a:endParaRPr lang="en-CA" sz="1100"/>
        </a:p>
      </xdr:txBody>
    </xdr:sp>
    <xdr:clientData/>
  </xdr:twoCellAnchor>
  <xdr:twoCellAnchor>
    <xdr:from>
      <xdr:col>2</xdr:col>
      <xdr:colOff>115766</xdr:colOff>
      <xdr:row>21</xdr:row>
      <xdr:rowOff>254976</xdr:rowOff>
    </xdr:from>
    <xdr:to>
      <xdr:col>5</xdr:col>
      <xdr:colOff>162984</xdr:colOff>
      <xdr:row>23</xdr:row>
      <xdr:rowOff>5862</xdr:rowOff>
    </xdr:to>
    <xdr:sp macro="" textlink="J15">
      <xdr:nvSpPr>
        <xdr:cNvPr id="25" name="Rectangl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2365131" y="9582149"/>
          <a:ext cx="2355199" cy="278425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05258D24-D964-4087-925A-F7BC987AB9D4}" type="TxLink">
            <a:rPr lang="en-US" sz="1600" b="0" i="0" u="none" strike="noStrike">
              <a:solidFill>
                <a:srgbClr val="000000"/>
              </a:solidFill>
              <a:latin typeface="Calibri"/>
            </a:rPr>
            <a:pPr algn="l"/>
            <a:t> </a:t>
          </a:fld>
          <a:endParaRPr lang="en-CA" sz="1100"/>
        </a:p>
      </xdr:txBody>
    </xdr:sp>
    <xdr:clientData/>
  </xdr:twoCellAnchor>
  <xdr:twoCellAnchor>
    <xdr:from>
      <xdr:col>5</xdr:col>
      <xdr:colOff>171608</xdr:colOff>
      <xdr:row>17</xdr:row>
      <xdr:rowOff>7327</xdr:rowOff>
    </xdr:from>
    <xdr:to>
      <xdr:col>8</xdr:col>
      <xdr:colOff>7327</xdr:colOff>
      <xdr:row>18</xdr:row>
      <xdr:rowOff>7329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4728954" y="8220808"/>
          <a:ext cx="2422123" cy="278425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400" b="1" baseline="0">
              <a:solidFill>
                <a:sysClr val="windowText" lastClr="000000"/>
              </a:solidFill>
              <a:latin typeface="Calibri" panose="020F0502020204030204" pitchFamily="34" charset="0"/>
            </a:rPr>
            <a:t>            </a:t>
          </a:r>
          <a:r>
            <a:rPr lang="en-CA" sz="1400" b="1">
              <a:solidFill>
                <a:sysClr val="windowText" lastClr="000000"/>
              </a:solidFill>
              <a:latin typeface="Calibri" panose="020F0502020204030204" pitchFamily="34" charset="0"/>
            </a:rPr>
            <a:t>STORE</a:t>
          </a:r>
        </a:p>
      </xdr:txBody>
    </xdr:sp>
    <xdr:clientData/>
  </xdr:twoCellAnchor>
  <xdr:twoCellAnchor>
    <xdr:from>
      <xdr:col>5</xdr:col>
      <xdr:colOff>168519</xdr:colOff>
      <xdr:row>18</xdr:row>
      <xdr:rowOff>4230</xdr:rowOff>
    </xdr:from>
    <xdr:to>
      <xdr:col>8</xdr:col>
      <xdr:colOff>7327</xdr:colOff>
      <xdr:row>19</xdr:row>
      <xdr:rowOff>4231</xdr:rowOff>
    </xdr:to>
    <xdr:sp macro="" textlink="J16">
      <xdr:nvSpPr>
        <xdr:cNvPr id="27" name="Rectangl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4725865" y="8496134"/>
          <a:ext cx="2425212" cy="278424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8CD77D6F-4E50-45D7-80A0-FA4C3265735D}" type="TxLink">
            <a:rPr lang="en-US" sz="1600" b="0" i="0" u="none" strike="noStrike">
              <a:solidFill>
                <a:srgbClr val="000000"/>
              </a:solidFill>
              <a:latin typeface="Calibri"/>
            </a:rPr>
            <a:pPr algn="l"/>
            <a:t> </a:t>
          </a:fld>
          <a:endParaRPr lang="en-CA" sz="1100"/>
        </a:p>
      </xdr:txBody>
    </xdr:sp>
    <xdr:clientData/>
  </xdr:twoCellAnchor>
  <xdr:twoCellAnchor>
    <xdr:from>
      <xdr:col>5</xdr:col>
      <xdr:colOff>171608</xdr:colOff>
      <xdr:row>19</xdr:row>
      <xdr:rowOff>4071</xdr:rowOff>
    </xdr:from>
    <xdr:to>
      <xdr:col>8</xdr:col>
      <xdr:colOff>7327</xdr:colOff>
      <xdr:row>20</xdr:row>
      <xdr:rowOff>4073</xdr:rowOff>
    </xdr:to>
    <xdr:sp macro="" textlink="J17">
      <xdr:nvSpPr>
        <xdr:cNvPr id="28" name="Rectangl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4728954" y="8774398"/>
          <a:ext cx="2422123" cy="278425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44E87761-F326-47D3-BE9E-47E766D20D0F}" type="TxLink">
            <a:rPr lang="en-US" sz="1600" b="0" i="0" u="none" strike="noStrike">
              <a:solidFill>
                <a:srgbClr val="000000"/>
              </a:solidFill>
              <a:latin typeface="Calibri"/>
            </a:rPr>
            <a:pPr algn="l"/>
            <a:t> </a:t>
          </a:fld>
          <a:endParaRPr lang="en-CA" sz="1100"/>
        </a:p>
      </xdr:txBody>
    </xdr:sp>
    <xdr:clientData/>
  </xdr:twoCellAnchor>
  <xdr:twoCellAnchor>
    <xdr:from>
      <xdr:col>5</xdr:col>
      <xdr:colOff>171608</xdr:colOff>
      <xdr:row>19</xdr:row>
      <xdr:rowOff>275167</xdr:rowOff>
    </xdr:from>
    <xdr:to>
      <xdr:col>8</xdr:col>
      <xdr:colOff>8004</xdr:colOff>
      <xdr:row>20</xdr:row>
      <xdr:rowOff>275169</xdr:rowOff>
    </xdr:to>
    <xdr:sp macro="" textlink="J17">
      <xdr:nvSpPr>
        <xdr:cNvPr id="29" name="Rectangle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4728954" y="9045494"/>
          <a:ext cx="2422800" cy="278425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9559E5CA-CD50-4E47-93AC-6CB7AEAA8FAD}" type="TxLink">
            <a:rPr lang="en-US" sz="1600" b="0" i="0" u="none" strike="noStrike">
              <a:solidFill>
                <a:srgbClr val="000000"/>
              </a:solidFill>
              <a:latin typeface="Calibri"/>
            </a:rPr>
            <a:pPr algn="l"/>
            <a:t> </a:t>
          </a:fld>
          <a:endParaRPr lang="en-CA" sz="1100"/>
        </a:p>
      </xdr:txBody>
    </xdr:sp>
    <xdr:clientData/>
  </xdr:twoCellAnchor>
  <xdr:twoCellAnchor>
    <xdr:from>
      <xdr:col>5</xdr:col>
      <xdr:colOff>171608</xdr:colOff>
      <xdr:row>20</xdr:row>
      <xdr:rowOff>260513</xdr:rowOff>
    </xdr:from>
    <xdr:to>
      <xdr:col>8</xdr:col>
      <xdr:colOff>8004</xdr:colOff>
      <xdr:row>21</xdr:row>
      <xdr:rowOff>260515</xdr:rowOff>
    </xdr:to>
    <xdr:sp macro="" textlink="J18">
      <xdr:nvSpPr>
        <xdr:cNvPr id="30" name="Rectangle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4728954" y="9309263"/>
          <a:ext cx="2422800" cy="278425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79894D84-992A-4E1C-86BB-5BC0175A1200}" type="TxLink">
            <a:rPr lang="en-US" sz="1600" b="0" i="0" u="none" strike="noStrike">
              <a:solidFill>
                <a:srgbClr val="000000"/>
              </a:solidFill>
              <a:latin typeface="Calibri"/>
            </a:rPr>
            <a:pPr algn="l"/>
            <a:t> </a:t>
          </a:fld>
          <a:endParaRPr lang="en-CA" sz="1100"/>
        </a:p>
      </xdr:txBody>
    </xdr:sp>
    <xdr:clientData/>
  </xdr:twoCellAnchor>
  <xdr:twoCellAnchor>
    <xdr:from>
      <xdr:col>5</xdr:col>
      <xdr:colOff>171607</xdr:colOff>
      <xdr:row>21</xdr:row>
      <xdr:rowOff>253186</xdr:rowOff>
    </xdr:from>
    <xdr:to>
      <xdr:col>8</xdr:col>
      <xdr:colOff>8003</xdr:colOff>
      <xdr:row>23</xdr:row>
      <xdr:rowOff>4072</xdr:rowOff>
    </xdr:to>
    <xdr:sp macro="" textlink="J19">
      <xdr:nvSpPr>
        <xdr:cNvPr id="31" name="Rectangl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4728953" y="9580359"/>
          <a:ext cx="2422800" cy="278425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250450D6-E219-4A2D-980D-081AF2981A41}" type="TxLink">
            <a:rPr lang="en-US" sz="1600" b="0" i="0" u="none" strike="noStrike">
              <a:solidFill>
                <a:srgbClr val="000000"/>
              </a:solidFill>
              <a:latin typeface="Calibri"/>
            </a:rPr>
            <a:pPr algn="l"/>
            <a:t> </a:t>
          </a:fld>
          <a:endParaRPr lang="en-CA" sz="1100"/>
        </a:p>
      </xdr:txBody>
    </xdr:sp>
    <xdr:clientData/>
  </xdr:twoCellAnchor>
  <xdr:twoCellAnchor>
    <xdr:from>
      <xdr:col>1</xdr:col>
      <xdr:colOff>1028700</xdr:colOff>
      <xdr:row>17</xdr:row>
      <xdr:rowOff>7327</xdr:rowOff>
    </xdr:from>
    <xdr:to>
      <xdr:col>1</xdr:col>
      <xdr:colOff>1040417</xdr:colOff>
      <xdr:row>23</xdr:row>
      <xdr:rowOff>0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 flipH="1">
          <a:off x="1562100" y="8187941"/>
          <a:ext cx="11717" cy="1636416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1703614</xdr:colOff>
      <xdr:row>16</xdr:row>
      <xdr:rowOff>262095</xdr:rowOff>
    </xdr:from>
    <xdr:to>
      <xdr:col>2</xdr:col>
      <xdr:colOff>1713029</xdr:colOff>
      <xdr:row>23</xdr:row>
      <xdr:rowOff>16329</xdr:rowOff>
    </xdr:to>
    <xdr:cxnSp macro="">
      <xdr:nvCxnSpPr>
        <xdr:cNvPr id="35" name="Straight Connector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CxnSpPr/>
      </xdr:nvCxnSpPr>
      <xdr:spPr>
        <a:xfrm flipH="1">
          <a:off x="3951514" y="8176009"/>
          <a:ext cx="9415" cy="1664677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386443</xdr:colOff>
      <xdr:row>16</xdr:row>
      <xdr:rowOff>260838</xdr:rowOff>
    </xdr:from>
    <xdr:to>
      <xdr:col>7</xdr:col>
      <xdr:colOff>392717</xdr:colOff>
      <xdr:row>23</xdr:row>
      <xdr:rowOff>10886</xdr:rowOff>
    </xdr:to>
    <xdr:cxnSp macro="">
      <xdr:nvCxnSpPr>
        <xdr:cNvPr id="38" name="Straight Connector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CxnSpPr/>
      </xdr:nvCxnSpPr>
      <xdr:spPr>
        <a:xfrm flipH="1">
          <a:off x="6379029" y="8174752"/>
          <a:ext cx="6274" cy="1660491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7327</xdr:colOff>
      <xdr:row>17</xdr:row>
      <xdr:rowOff>10583</xdr:rowOff>
    </xdr:from>
    <xdr:to>
      <xdr:col>0</xdr:col>
      <xdr:colOff>13182</xdr:colOff>
      <xdr:row>23</xdr:row>
      <xdr:rowOff>63336</xdr:rowOff>
    </xdr:to>
    <xdr:cxnSp macro="">
      <xdr:nvCxnSpPr>
        <xdr:cNvPr id="39" name="Straight Connector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CxnSpPr/>
      </xdr:nvCxnSpPr>
      <xdr:spPr>
        <a:xfrm flipH="1">
          <a:off x="7327" y="8224064"/>
          <a:ext cx="5855" cy="1693984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1062404</xdr:colOff>
      <xdr:row>16</xdr:row>
      <xdr:rowOff>197827</xdr:rowOff>
    </xdr:from>
    <xdr:to>
      <xdr:col>2</xdr:col>
      <xdr:colOff>124558</xdr:colOff>
      <xdr:row>18</xdr:row>
      <xdr:rowOff>73269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1597269" y="8147539"/>
          <a:ext cx="776654" cy="417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700" b="1">
              <a:latin typeface="Calibri" panose="020F0502020204030204" pitchFamily="34" charset="0"/>
            </a:rPr>
            <a:t>D8D4</a:t>
          </a:r>
        </a:p>
        <a:p>
          <a:pPr algn="ctr"/>
          <a:r>
            <a:rPr lang="en-CA" sz="700" b="1">
              <a:latin typeface="Calibri" panose="020F0502020204030204" pitchFamily="34" charset="0"/>
            </a:rPr>
            <a:t>RECEIVED?</a:t>
          </a:r>
        </a:p>
      </xdr:txBody>
    </xdr:sp>
    <xdr:clientData/>
  </xdr:twoCellAnchor>
  <xdr:twoCellAnchor>
    <xdr:from>
      <xdr:col>2</xdr:col>
      <xdr:colOff>1713035</xdr:colOff>
      <xdr:row>16</xdr:row>
      <xdr:rowOff>203688</xdr:rowOff>
    </xdr:from>
    <xdr:to>
      <xdr:col>5</xdr:col>
      <xdr:colOff>181708</xdr:colOff>
      <xdr:row>18</xdr:row>
      <xdr:rowOff>79130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 txBox="1"/>
      </xdr:nvSpPr>
      <xdr:spPr>
        <a:xfrm>
          <a:off x="3962400" y="8153400"/>
          <a:ext cx="776654" cy="417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700" b="1">
              <a:latin typeface="Calibri" panose="020F0502020204030204" pitchFamily="34" charset="0"/>
            </a:rPr>
            <a:t>D8D4</a:t>
          </a:r>
        </a:p>
        <a:p>
          <a:pPr algn="ctr"/>
          <a:r>
            <a:rPr lang="en-CA" sz="700" b="1">
              <a:latin typeface="Calibri" panose="020F0502020204030204" pitchFamily="34" charset="0"/>
            </a:rPr>
            <a:t>RECEIVED?</a:t>
          </a:r>
        </a:p>
      </xdr:txBody>
    </xdr:sp>
    <xdr:clientData/>
  </xdr:twoCellAnchor>
  <xdr:twoCellAnchor>
    <xdr:from>
      <xdr:col>7</xdr:col>
      <xdr:colOff>400050</xdr:colOff>
      <xdr:row>16</xdr:row>
      <xdr:rowOff>202223</xdr:rowOff>
    </xdr:from>
    <xdr:to>
      <xdr:col>8</xdr:col>
      <xdr:colOff>26377</xdr:colOff>
      <xdr:row>18</xdr:row>
      <xdr:rowOff>77665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 txBox="1"/>
      </xdr:nvSpPr>
      <xdr:spPr>
        <a:xfrm>
          <a:off x="6393473" y="8151935"/>
          <a:ext cx="776654" cy="417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700" b="1">
              <a:latin typeface="Calibri" panose="020F0502020204030204" pitchFamily="34" charset="0"/>
            </a:rPr>
            <a:t>D8D4</a:t>
          </a:r>
        </a:p>
        <a:p>
          <a:pPr algn="ctr"/>
          <a:r>
            <a:rPr lang="en-CA" sz="700" b="1">
              <a:latin typeface="Calibri" panose="020F0502020204030204" pitchFamily="34" charset="0"/>
            </a:rPr>
            <a:t>RECEIVED?</a:t>
          </a:r>
        </a:p>
      </xdr:txBody>
    </xdr:sp>
    <xdr:clientData/>
  </xdr:twoCellAnchor>
  <xdr:twoCellAnchor>
    <xdr:from>
      <xdr:col>1</xdr:col>
      <xdr:colOff>1333501</xdr:colOff>
      <xdr:row>18</xdr:row>
      <xdr:rowOff>36634</xdr:rowOff>
    </xdr:from>
    <xdr:to>
      <xdr:col>1</xdr:col>
      <xdr:colOff>1553308</xdr:colOff>
      <xdr:row>18</xdr:row>
      <xdr:rowOff>249115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868366" y="8528538"/>
          <a:ext cx="219807" cy="212481"/>
        </a:xfrm>
        <a:prstGeom prst="rect">
          <a:avLst/>
        </a:prstGeom>
        <a:noFill/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</xdr:col>
      <xdr:colOff>1332034</xdr:colOff>
      <xdr:row>19</xdr:row>
      <xdr:rowOff>42497</xdr:rowOff>
    </xdr:from>
    <xdr:to>
      <xdr:col>1</xdr:col>
      <xdr:colOff>1551841</xdr:colOff>
      <xdr:row>19</xdr:row>
      <xdr:rowOff>254978</xdr:rowOff>
    </xdr:to>
    <xdr:sp macro="" textlink="">
      <xdr:nvSpPr>
        <xdr:cNvPr id="44" name="Rectangle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>
          <a:off x="1866899" y="8812824"/>
          <a:ext cx="219807" cy="212481"/>
        </a:xfrm>
        <a:prstGeom prst="rect">
          <a:avLst/>
        </a:prstGeom>
        <a:noFill/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</xdr:col>
      <xdr:colOff>1330567</xdr:colOff>
      <xdr:row>20</xdr:row>
      <xdr:rowOff>33706</xdr:rowOff>
    </xdr:from>
    <xdr:to>
      <xdr:col>1</xdr:col>
      <xdr:colOff>1550374</xdr:colOff>
      <xdr:row>20</xdr:row>
      <xdr:rowOff>246187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1865432" y="9082456"/>
          <a:ext cx="219807" cy="212481"/>
        </a:xfrm>
        <a:prstGeom prst="rect">
          <a:avLst/>
        </a:prstGeom>
        <a:noFill/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</xdr:col>
      <xdr:colOff>1336427</xdr:colOff>
      <xdr:row>21</xdr:row>
      <xdr:rowOff>24915</xdr:rowOff>
    </xdr:from>
    <xdr:to>
      <xdr:col>1</xdr:col>
      <xdr:colOff>1556234</xdr:colOff>
      <xdr:row>21</xdr:row>
      <xdr:rowOff>237396</xdr:rowOff>
    </xdr:to>
    <xdr:sp macro="" textlink="">
      <xdr:nvSpPr>
        <xdr:cNvPr id="46" name="Rectangle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>
        <a:xfrm>
          <a:off x="1871292" y="9352088"/>
          <a:ext cx="219807" cy="212481"/>
        </a:xfrm>
        <a:prstGeom prst="rect">
          <a:avLst/>
        </a:prstGeom>
        <a:noFill/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</xdr:col>
      <xdr:colOff>1334960</xdr:colOff>
      <xdr:row>22</xdr:row>
      <xdr:rowOff>30778</xdr:rowOff>
    </xdr:from>
    <xdr:to>
      <xdr:col>1</xdr:col>
      <xdr:colOff>1554767</xdr:colOff>
      <xdr:row>22</xdr:row>
      <xdr:rowOff>243259</xdr:rowOff>
    </xdr:to>
    <xdr:sp macro="" textlink="">
      <xdr:nvSpPr>
        <xdr:cNvPr id="48" name="Rectangle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>
        <a:xfrm>
          <a:off x="1869825" y="9621720"/>
          <a:ext cx="219807" cy="212481"/>
        </a:xfrm>
        <a:prstGeom prst="rect">
          <a:avLst/>
        </a:prstGeom>
        <a:noFill/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4</xdr:col>
      <xdr:colOff>218342</xdr:colOff>
      <xdr:row>18</xdr:row>
      <xdr:rowOff>35169</xdr:rowOff>
    </xdr:from>
    <xdr:to>
      <xdr:col>4</xdr:col>
      <xdr:colOff>438149</xdr:colOff>
      <xdr:row>18</xdr:row>
      <xdr:rowOff>247650</xdr:rowOff>
    </xdr:to>
    <xdr:sp macro="" textlink="">
      <xdr:nvSpPr>
        <xdr:cNvPr id="49" name="Rectangle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>
          <a:off x="4240823" y="8527073"/>
          <a:ext cx="219807" cy="212481"/>
        </a:xfrm>
        <a:prstGeom prst="rect">
          <a:avLst/>
        </a:prstGeom>
        <a:noFill/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4</xdr:col>
      <xdr:colOff>216875</xdr:colOff>
      <xdr:row>19</xdr:row>
      <xdr:rowOff>41032</xdr:rowOff>
    </xdr:from>
    <xdr:to>
      <xdr:col>4</xdr:col>
      <xdr:colOff>436682</xdr:colOff>
      <xdr:row>19</xdr:row>
      <xdr:rowOff>253513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4239356" y="8811359"/>
          <a:ext cx="219807" cy="212481"/>
        </a:xfrm>
        <a:prstGeom prst="rect">
          <a:avLst/>
        </a:prstGeom>
        <a:noFill/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4</xdr:col>
      <xdr:colOff>215408</xdr:colOff>
      <xdr:row>20</xdr:row>
      <xdr:rowOff>32241</xdr:rowOff>
    </xdr:from>
    <xdr:to>
      <xdr:col>4</xdr:col>
      <xdr:colOff>435215</xdr:colOff>
      <xdr:row>20</xdr:row>
      <xdr:rowOff>244722</xdr:rowOff>
    </xdr:to>
    <xdr:sp macro="" textlink="">
      <xdr:nvSpPr>
        <xdr:cNvPr id="51" name="Rectangle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4237889" y="9080991"/>
          <a:ext cx="219807" cy="212481"/>
        </a:xfrm>
        <a:prstGeom prst="rect">
          <a:avLst/>
        </a:prstGeom>
        <a:noFill/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4</xdr:col>
      <xdr:colOff>221268</xdr:colOff>
      <xdr:row>21</xdr:row>
      <xdr:rowOff>23450</xdr:rowOff>
    </xdr:from>
    <xdr:to>
      <xdr:col>4</xdr:col>
      <xdr:colOff>441075</xdr:colOff>
      <xdr:row>21</xdr:row>
      <xdr:rowOff>235931</xdr:rowOff>
    </xdr:to>
    <xdr:sp macro="" textlink="">
      <xdr:nvSpPr>
        <xdr:cNvPr id="52" name="Rectangle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4243749" y="9350623"/>
          <a:ext cx="219807" cy="212481"/>
        </a:xfrm>
        <a:prstGeom prst="rect">
          <a:avLst/>
        </a:prstGeom>
        <a:noFill/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4</xdr:col>
      <xdr:colOff>219801</xdr:colOff>
      <xdr:row>22</xdr:row>
      <xdr:rowOff>29313</xdr:rowOff>
    </xdr:from>
    <xdr:to>
      <xdr:col>4</xdr:col>
      <xdr:colOff>439608</xdr:colOff>
      <xdr:row>22</xdr:row>
      <xdr:rowOff>241794</xdr:rowOff>
    </xdr:to>
    <xdr:sp macro="" textlink="">
      <xdr:nvSpPr>
        <xdr:cNvPr id="53" name="Rectangle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4242282" y="9620255"/>
          <a:ext cx="219807" cy="212481"/>
        </a:xfrm>
        <a:prstGeom prst="rect">
          <a:avLst/>
        </a:prstGeom>
        <a:noFill/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7</xdr:col>
      <xdr:colOff>671146</xdr:colOff>
      <xdr:row>18</xdr:row>
      <xdr:rowOff>33704</xdr:rowOff>
    </xdr:from>
    <xdr:to>
      <xdr:col>7</xdr:col>
      <xdr:colOff>890953</xdr:colOff>
      <xdr:row>18</xdr:row>
      <xdr:rowOff>246185</xdr:rowOff>
    </xdr:to>
    <xdr:sp macro="" textlink="">
      <xdr:nvSpPr>
        <xdr:cNvPr id="54" name="Rectangle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6664569" y="8525608"/>
          <a:ext cx="219807" cy="212481"/>
        </a:xfrm>
        <a:prstGeom prst="rect">
          <a:avLst/>
        </a:prstGeom>
        <a:noFill/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7</xdr:col>
      <xdr:colOff>669679</xdr:colOff>
      <xdr:row>19</xdr:row>
      <xdr:rowOff>39567</xdr:rowOff>
    </xdr:from>
    <xdr:to>
      <xdr:col>7</xdr:col>
      <xdr:colOff>889486</xdr:colOff>
      <xdr:row>19</xdr:row>
      <xdr:rowOff>252048</xdr:rowOff>
    </xdr:to>
    <xdr:sp macro="" textlink="">
      <xdr:nvSpPr>
        <xdr:cNvPr id="55" name="Rectangle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>
        <a:xfrm>
          <a:off x="6663102" y="8809894"/>
          <a:ext cx="219807" cy="212481"/>
        </a:xfrm>
        <a:prstGeom prst="rect">
          <a:avLst/>
        </a:prstGeom>
        <a:noFill/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7</xdr:col>
      <xdr:colOff>668212</xdr:colOff>
      <xdr:row>20</xdr:row>
      <xdr:rowOff>30776</xdr:rowOff>
    </xdr:from>
    <xdr:to>
      <xdr:col>7</xdr:col>
      <xdr:colOff>888019</xdr:colOff>
      <xdr:row>20</xdr:row>
      <xdr:rowOff>243257</xdr:rowOff>
    </xdr:to>
    <xdr:sp macro="" textlink="">
      <xdr:nvSpPr>
        <xdr:cNvPr id="56" name="Rectangle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>
        <a:xfrm>
          <a:off x="6661635" y="9079526"/>
          <a:ext cx="219807" cy="212481"/>
        </a:xfrm>
        <a:prstGeom prst="rect">
          <a:avLst/>
        </a:prstGeom>
        <a:noFill/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7</xdr:col>
      <xdr:colOff>674072</xdr:colOff>
      <xdr:row>21</xdr:row>
      <xdr:rowOff>21985</xdr:rowOff>
    </xdr:from>
    <xdr:to>
      <xdr:col>7</xdr:col>
      <xdr:colOff>893879</xdr:colOff>
      <xdr:row>21</xdr:row>
      <xdr:rowOff>234466</xdr:rowOff>
    </xdr:to>
    <xdr:sp macro="" textlink="">
      <xdr:nvSpPr>
        <xdr:cNvPr id="57" name="Rectangle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6667495" y="9349158"/>
          <a:ext cx="219807" cy="212481"/>
        </a:xfrm>
        <a:prstGeom prst="rect">
          <a:avLst/>
        </a:prstGeom>
        <a:noFill/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7</xdr:col>
      <xdr:colOff>672605</xdr:colOff>
      <xdr:row>22</xdr:row>
      <xdr:rowOff>27848</xdr:rowOff>
    </xdr:from>
    <xdr:to>
      <xdr:col>7</xdr:col>
      <xdr:colOff>892412</xdr:colOff>
      <xdr:row>22</xdr:row>
      <xdr:rowOff>240329</xdr:rowOff>
    </xdr:to>
    <xdr:sp macro="" textlink="">
      <xdr:nvSpPr>
        <xdr:cNvPr id="58" name="Rectangle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6666028" y="9618790"/>
          <a:ext cx="219807" cy="212481"/>
        </a:xfrm>
        <a:prstGeom prst="rect">
          <a:avLst/>
        </a:prstGeom>
        <a:noFill/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50800</xdr:colOff>
          <xdr:row>5</xdr:row>
          <xdr:rowOff>0</xdr:rowOff>
        </xdr:from>
        <xdr:to>
          <xdr:col>21</xdr:col>
          <xdr:colOff>31750</xdr:colOff>
          <xdr:row>6</xdr:row>
          <xdr:rowOff>19050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0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BUILD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609600</xdr:colOff>
          <xdr:row>8</xdr:row>
          <xdr:rowOff>0</xdr:rowOff>
        </xdr:from>
        <xdr:to>
          <xdr:col>21</xdr:col>
          <xdr:colOff>0</xdr:colOff>
          <xdr:row>9</xdr:row>
          <xdr:rowOff>19050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0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FULL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12700</xdr:rowOff>
        </xdr:from>
        <xdr:to>
          <xdr:col>21</xdr:col>
          <xdr:colOff>12700</xdr:colOff>
          <xdr:row>12</xdr:row>
          <xdr:rowOff>38100</xdr:rowOff>
        </xdr:to>
        <xdr:sp macro="" textlink="">
          <xdr:nvSpPr>
            <xdr:cNvPr id="5136" name="Button 16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0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OUTPUTS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2</xdr:row>
      <xdr:rowOff>35718</xdr:rowOff>
    </xdr:from>
    <xdr:to>
      <xdr:col>0</xdr:col>
      <xdr:colOff>578644</xdr:colOff>
      <xdr:row>7</xdr:row>
      <xdr:rowOff>523874</xdr:rowOff>
    </xdr:to>
    <xdr:sp macro="" textlink="">
      <xdr:nvSpPr>
        <xdr:cNvPr id="59" name="WordArt 2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>
          <a:spLocks noChangeArrowheads="1" noChangeShapeType="1" noTextEdit="1"/>
        </xdr:cNvSpPr>
      </xdr:nvSpPr>
      <xdr:spPr bwMode="auto">
        <a:xfrm rot="5400000">
          <a:off x="-1121568" y="1728786"/>
          <a:ext cx="2774156" cy="531019"/>
        </a:xfrm>
        <a:prstGeom prst="rect">
          <a:avLst/>
        </a:prstGeom>
      </xdr:spPr>
      <xdr:txBody>
        <a:bodyPr vert="wordArtVert"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 fontAlgn="auto"/>
          <a:r>
            <a:rPr lang="en-US" sz="3600" kern="10" spc="0">
              <a:ln w="12700">
                <a:solidFill>
                  <a:srgbClr val="000000"/>
                </a:solidFill>
                <a:round/>
                <a:headEnd/>
                <a:tailEnd/>
              </a:ln>
              <a:solidFill>
                <a:srgbClr val="C0C0C0"/>
              </a:solidFill>
              <a:effectLst>
                <a:outerShdw dist="53882" dir="2700000" algn="ctr" rotWithShape="0">
                  <a:srgbClr val="CBCBCB">
                    <a:alpha val="80000"/>
                  </a:srgbClr>
                </a:outerShdw>
              </a:effectLst>
              <a:latin typeface="Calibri"/>
            </a:rPr>
            <a:t>Crossways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127000</xdr:colOff>
          <xdr:row>0</xdr:row>
          <xdr:rowOff>0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5137" name="Button 17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0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13</xdr:col>
          <xdr:colOff>12700</xdr:colOff>
          <xdr:row>2</xdr:row>
          <xdr:rowOff>0</xdr:rowOff>
        </xdr:to>
        <xdr:sp macro="" textlink="">
          <xdr:nvSpPr>
            <xdr:cNvPr id="5138" name="Button 18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0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Font 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381000</xdr:colOff>
          <xdr:row>10</xdr:row>
          <xdr:rowOff>127000</xdr:rowOff>
        </xdr:from>
        <xdr:to>
          <xdr:col>22</xdr:col>
          <xdr:colOff>1974850</xdr:colOff>
          <xdr:row>11</xdr:row>
          <xdr:rowOff>374650</xdr:rowOff>
        </xdr:to>
        <xdr:sp macro="" textlink="">
          <xdr:nvSpPr>
            <xdr:cNvPr id="5141" name="Button 21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0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Mail and Reset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152400</xdr:colOff>
      <xdr:row>7</xdr:row>
      <xdr:rowOff>371475</xdr:rowOff>
    </xdr:from>
    <xdr:to>
      <xdr:col>4</xdr:col>
      <xdr:colOff>495300</xdr:colOff>
      <xdr:row>16</xdr:row>
      <xdr:rowOff>0</xdr:rowOff>
    </xdr:to>
    <xdr:sp macro="" textlink="">
      <xdr:nvSpPr>
        <xdr:cNvPr id="2" name="AutoShap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rrowheads="1"/>
        </xdr:cNvSpPr>
      </xdr:nvSpPr>
      <xdr:spPr bwMode="auto">
        <a:xfrm rot="5400000">
          <a:off x="2000250" y="5400675"/>
          <a:ext cx="4686300" cy="342900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43208067 h 21600"/>
            <a:gd name="T4" fmla="*/ 2147483647 w 21600"/>
            <a:gd name="T5" fmla="*/ 86416134 h 21600"/>
            <a:gd name="T6" fmla="*/ 2147483647 w 21600"/>
            <a:gd name="T7" fmla="*/ 4320806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28575</xdr:colOff>
      <xdr:row>3</xdr:row>
      <xdr:rowOff>19050</xdr:rowOff>
    </xdr:from>
    <xdr:to>
      <xdr:col>5</xdr:col>
      <xdr:colOff>0</xdr:colOff>
      <xdr:row>7</xdr:row>
      <xdr:rowOff>285750</xdr:rowOff>
    </xdr:to>
    <xdr:sp macro="" textlink="">
      <xdr:nvSpPr>
        <xdr:cNvPr id="3" name="Word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ChangeArrowheads="1" noChangeShapeType="1" noTextEdit="1"/>
        </xdr:cNvSpPr>
      </xdr:nvSpPr>
      <xdr:spPr bwMode="auto">
        <a:xfrm rot="5400000">
          <a:off x="3043238" y="1633537"/>
          <a:ext cx="2514600" cy="504825"/>
        </a:xfrm>
        <a:prstGeom prst="rect">
          <a:avLst/>
        </a:prstGeom>
      </xdr:spPr>
      <xdr:txBody>
        <a:bodyPr vert="wordArtVert"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 fontAlgn="auto"/>
          <a:r>
            <a:rPr lang="en-US" sz="3600" kern="10" spc="0">
              <a:ln w="12700">
                <a:solidFill>
                  <a:srgbClr val="000000"/>
                </a:solidFill>
                <a:round/>
                <a:headEnd/>
                <a:tailEnd/>
              </a:ln>
              <a:solidFill>
                <a:srgbClr val="C0C0C0"/>
              </a:solidFill>
              <a:effectLst>
                <a:outerShdw dist="53882" dir="2700000" algn="ctr" rotWithShape="0">
                  <a:srgbClr val="CBCBCB">
                    <a:alpha val="80000"/>
                  </a:srgbClr>
                </a:outerShdw>
              </a:effectLst>
              <a:latin typeface="Calibri"/>
            </a:rPr>
            <a:t>Crossways</a:t>
          </a:r>
        </a:p>
      </xdr:txBody>
    </xdr:sp>
    <xdr:clientData/>
  </xdr:twoCellAnchor>
  <xdr:twoCellAnchor>
    <xdr:from>
      <xdr:col>0</xdr:col>
      <xdr:colOff>107157</xdr:colOff>
      <xdr:row>8</xdr:row>
      <xdr:rowOff>107156</xdr:rowOff>
    </xdr:from>
    <xdr:to>
      <xdr:col>0</xdr:col>
      <xdr:colOff>450057</xdr:colOff>
      <xdr:row>16</xdr:row>
      <xdr:rowOff>0</xdr:rowOff>
    </xdr:to>
    <xdr:sp macro="" textlink="">
      <xdr:nvSpPr>
        <xdr:cNvPr id="4" name="AutoShape 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>
          <a:spLocks noChangeArrowheads="1"/>
        </xdr:cNvSpPr>
      </xdr:nvSpPr>
      <xdr:spPr bwMode="auto">
        <a:xfrm rot="5400000">
          <a:off x="-1915715" y="5549503"/>
          <a:ext cx="4388644" cy="342900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43208067 h 21600"/>
            <a:gd name="T4" fmla="*/ 2147483647 w 21600"/>
            <a:gd name="T5" fmla="*/ 86416134 h 21600"/>
            <a:gd name="T6" fmla="*/ 2147483647 w 21600"/>
            <a:gd name="T7" fmla="*/ 4320806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2</xdr:row>
      <xdr:rowOff>35718</xdr:rowOff>
    </xdr:from>
    <xdr:to>
      <xdr:col>0</xdr:col>
      <xdr:colOff>578644</xdr:colOff>
      <xdr:row>7</xdr:row>
      <xdr:rowOff>523874</xdr:rowOff>
    </xdr:to>
    <xdr:sp macro="" textlink="">
      <xdr:nvSpPr>
        <xdr:cNvPr id="5" name="WordArt 2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Arrowheads="1" noChangeShapeType="1" noTextEdit="1"/>
        </xdr:cNvSpPr>
      </xdr:nvSpPr>
      <xdr:spPr bwMode="auto">
        <a:xfrm rot="5400000">
          <a:off x="-1121568" y="1728786"/>
          <a:ext cx="2774156" cy="531019"/>
        </a:xfrm>
        <a:prstGeom prst="rect">
          <a:avLst/>
        </a:prstGeom>
      </xdr:spPr>
      <xdr:txBody>
        <a:bodyPr vert="wordArtVert"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 fontAlgn="auto"/>
          <a:r>
            <a:rPr lang="en-US" sz="3600" kern="10" spc="0">
              <a:ln w="12700">
                <a:solidFill>
                  <a:srgbClr val="000000"/>
                </a:solidFill>
                <a:round/>
                <a:headEnd/>
                <a:tailEnd/>
              </a:ln>
              <a:solidFill>
                <a:srgbClr val="C0C0C0"/>
              </a:solidFill>
              <a:effectLst>
                <a:outerShdw dist="53882" dir="2700000" algn="ctr" rotWithShape="0">
                  <a:srgbClr val="CBCBCB">
                    <a:alpha val="80000"/>
                  </a:srgbClr>
                </a:outerShdw>
              </a:effectLst>
              <a:latin typeface="Calibri"/>
            </a:rPr>
            <a:t>Crossways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25</xdr:row>
          <xdr:rowOff>0</xdr:rowOff>
        </xdr:from>
        <xdr:to>
          <xdr:col>7</xdr:col>
          <xdr:colOff>1060450</xdr:colOff>
          <xdr:row>85</xdr:row>
          <xdr:rowOff>133350</xdr:rowOff>
        </xdr:to>
        <xdr:sp macro="" textlink="">
          <xdr:nvSpPr>
            <xdr:cNvPr id="15361" name="Object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127000</xdr:colOff>
          <xdr:row>0</xdr:row>
          <xdr:rowOff>0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13</xdr:col>
          <xdr:colOff>12700</xdr:colOff>
          <xdr:row>2</xdr:row>
          <xdr:rowOff>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1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Font 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12700</xdr:colOff>
          <xdr:row>0</xdr:row>
          <xdr:rowOff>0</xdr:rowOff>
        </xdr:from>
        <xdr:to>
          <xdr:col>18</xdr:col>
          <xdr:colOff>165100</xdr:colOff>
          <xdr:row>2</xdr:row>
          <xdr:rowOff>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1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B/W 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190500</xdr:colOff>
          <xdr:row>0</xdr:row>
          <xdr:rowOff>0</xdr:rowOff>
        </xdr:from>
        <xdr:to>
          <xdr:col>20</xdr:col>
          <xdr:colOff>355600</xdr:colOff>
          <xdr:row>2</xdr:row>
          <xdr:rowOff>0</xdr:rowOff>
        </xdr:to>
        <xdr:sp macro="" textlink="">
          <xdr:nvSpPr>
            <xdr:cNvPr id="15365" name="Button 5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1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B/W's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7327</xdr:colOff>
      <xdr:row>17</xdr:row>
      <xdr:rowOff>10583</xdr:rowOff>
    </xdr:from>
    <xdr:to>
      <xdr:col>2</xdr:col>
      <xdr:colOff>113161</xdr:colOff>
      <xdr:row>18</xdr:row>
      <xdr:rowOff>10585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7327" y="8192558"/>
          <a:ext cx="2353734" cy="276227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400" b="1">
              <a:solidFill>
                <a:sysClr val="windowText" lastClr="000000"/>
              </a:solidFill>
              <a:latin typeface="Calibri" panose="020F0502020204030204" pitchFamily="34" charset="0"/>
            </a:rPr>
            <a:t>            STORE</a:t>
          </a:r>
        </a:p>
      </xdr:txBody>
    </xdr:sp>
    <xdr:clientData/>
  </xdr:twoCellAnchor>
  <xdr:twoCellAnchor>
    <xdr:from>
      <xdr:col>0</xdr:col>
      <xdr:colOff>14821</xdr:colOff>
      <xdr:row>18</xdr:row>
      <xdr:rowOff>7484</xdr:rowOff>
    </xdr:from>
    <xdr:to>
      <xdr:col>2</xdr:col>
      <xdr:colOff>120655</xdr:colOff>
      <xdr:row>19</xdr:row>
      <xdr:rowOff>7485</xdr:rowOff>
    </xdr:to>
    <xdr:sp macro="" textlink="J6">
      <xdr:nvSpPr>
        <xdr:cNvPr id="12" name="Rectangl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14821" y="8465684"/>
          <a:ext cx="2353734" cy="276226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86E399B3-A2BD-47C7-A344-C6B594F10068}" type="TxLink">
            <a:rPr lang="en-US" sz="1600" b="0" i="0" u="none" strike="noStrike">
              <a:solidFill>
                <a:srgbClr val="000000"/>
              </a:solidFill>
              <a:latin typeface="Calibri"/>
              <a:cs typeface="Arial"/>
            </a:rPr>
            <a:pPr algn="l"/>
            <a:t> </a:t>
          </a:fld>
          <a:endParaRPr lang="en-US"/>
        </a:p>
      </xdr:txBody>
    </xdr:sp>
    <xdr:clientData/>
  </xdr:twoCellAnchor>
  <xdr:twoCellAnchor>
    <xdr:from>
      <xdr:col>0</xdr:col>
      <xdr:colOff>7327</xdr:colOff>
      <xdr:row>19</xdr:row>
      <xdr:rowOff>7327</xdr:rowOff>
    </xdr:from>
    <xdr:to>
      <xdr:col>2</xdr:col>
      <xdr:colOff>113161</xdr:colOff>
      <xdr:row>20</xdr:row>
      <xdr:rowOff>7329</xdr:rowOff>
    </xdr:to>
    <xdr:sp macro="" textlink="J7">
      <xdr:nvSpPr>
        <xdr:cNvPr id="13" name="Rectangl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7327" y="8741752"/>
          <a:ext cx="2353734" cy="276227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6E4648E1-60F2-4D7F-B397-1A858E61BC9C}" type="TxLink">
            <a:rPr lang="en-US" sz="1600" b="0" i="0" u="none" strike="noStrike">
              <a:solidFill>
                <a:srgbClr val="000000"/>
              </a:solidFill>
              <a:latin typeface="Calibri"/>
              <a:cs typeface="Arial"/>
            </a:rPr>
            <a:pPr algn="l"/>
            <a:t> </a:t>
          </a:fld>
          <a:endParaRPr lang="en-CA" sz="1100"/>
        </a:p>
      </xdr:txBody>
    </xdr:sp>
    <xdr:clientData/>
  </xdr:twoCellAnchor>
  <xdr:twoCellAnchor>
    <xdr:from>
      <xdr:col>0</xdr:col>
      <xdr:colOff>7327</xdr:colOff>
      <xdr:row>20</xdr:row>
      <xdr:rowOff>0</xdr:rowOff>
    </xdr:from>
    <xdr:to>
      <xdr:col>2</xdr:col>
      <xdr:colOff>113161</xdr:colOff>
      <xdr:row>21</xdr:row>
      <xdr:rowOff>2</xdr:rowOff>
    </xdr:to>
    <xdr:sp macro="" textlink="J8">
      <xdr:nvSpPr>
        <xdr:cNvPr id="14" name="Rectangl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7327" y="9010650"/>
          <a:ext cx="2353734" cy="276227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5669564C-86EA-4D49-8C06-AD81305335DA}" type="TxLink">
            <a:rPr lang="en-US" sz="1600" b="0" i="0" u="none" strike="noStrike">
              <a:solidFill>
                <a:srgbClr val="000000"/>
              </a:solidFill>
              <a:latin typeface="Calibri"/>
              <a:cs typeface="Arial"/>
            </a:rPr>
            <a:pPr algn="l"/>
            <a:t> </a:t>
          </a:fld>
          <a:endParaRPr lang="en-CA" sz="1100"/>
        </a:p>
      </xdr:txBody>
    </xdr:sp>
    <xdr:clientData/>
  </xdr:twoCellAnchor>
  <xdr:twoCellAnchor>
    <xdr:from>
      <xdr:col>0</xdr:col>
      <xdr:colOff>7327</xdr:colOff>
      <xdr:row>20</xdr:row>
      <xdr:rowOff>263769</xdr:rowOff>
    </xdr:from>
    <xdr:to>
      <xdr:col>2</xdr:col>
      <xdr:colOff>113161</xdr:colOff>
      <xdr:row>22</xdr:row>
      <xdr:rowOff>2</xdr:rowOff>
    </xdr:to>
    <xdr:sp macro="" textlink="J9">
      <xdr:nvSpPr>
        <xdr:cNvPr id="15" name="Rectangl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7327" y="9274419"/>
          <a:ext cx="2353734" cy="279158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8ADC0B1A-BE06-4E51-91A7-C56418AEB95A}" type="TxLink">
            <a:rPr lang="en-US" sz="1600" b="0" i="0" u="none" strike="noStrike">
              <a:solidFill>
                <a:srgbClr val="000000"/>
              </a:solidFill>
              <a:latin typeface="Calibri"/>
              <a:cs typeface="Arial"/>
            </a:rPr>
            <a:pPr algn="l"/>
            <a:t> </a:t>
          </a:fld>
          <a:endParaRPr lang="en-CA" sz="1100"/>
        </a:p>
      </xdr:txBody>
    </xdr:sp>
    <xdr:clientData/>
  </xdr:twoCellAnchor>
  <xdr:twoCellAnchor>
    <xdr:from>
      <xdr:col>0</xdr:col>
      <xdr:colOff>7327</xdr:colOff>
      <xdr:row>21</xdr:row>
      <xdr:rowOff>256442</xdr:rowOff>
    </xdr:from>
    <xdr:to>
      <xdr:col>2</xdr:col>
      <xdr:colOff>113161</xdr:colOff>
      <xdr:row>23</xdr:row>
      <xdr:rowOff>7328</xdr:rowOff>
    </xdr:to>
    <xdr:sp macro="" textlink="J10">
      <xdr:nvSpPr>
        <xdr:cNvPr id="16" name="Rectangl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7327" y="9543317"/>
          <a:ext cx="2353734" cy="284286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C923BA89-8BA6-4C88-AE5E-72875293C08B}" type="TxLink">
            <a:rPr lang="en-US" sz="1600" b="0" i="0" u="none" strike="noStrike">
              <a:solidFill>
                <a:srgbClr val="000000"/>
              </a:solidFill>
              <a:latin typeface="Calibri"/>
              <a:cs typeface="Arial"/>
            </a:rPr>
            <a:pPr algn="l"/>
            <a:t> </a:t>
          </a:fld>
          <a:endParaRPr lang="en-CA" sz="1100"/>
        </a:p>
      </xdr:txBody>
    </xdr:sp>
    <xdr:clientData/>
  </xdr:twoCellAnchor>
  <xdr:twoCellAnchor>
    <xdr:from>
      <xdr:col>2</xdr:col>
      <xdr:colOff>115766</xdr:colOff>
      <xdr:row>17</xdr:row>
      <xdr:rowOff>9117</xdr:rowOff>
    </xdr:from>
    <xdr:to>
      <xdr:col>5</xdr:col>
      <xdr:colOff>162984</xdr:colOff>
      <xdr:row>18</xdr:row>
      <xdr:rowOff>9119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2363666" y="8191092"/>
          <a:ext cx="2352268" cy="276227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400" b="1">
              <a:solidFill>
                <a:sysClr val="windowText" lastClr="000000"/>
              </a:solidFill>
              <a:latin typeface="Calibri" panose="020F0502020204030204" pitchFamily="34" charset="0"/>
            </a:rPr>
            <a:t>            STORE</a:t>
          </a:r>
        </a:p>
      </xdr:txBody>
    </xdr:sp>
    <xdr:clientData/>
  </xdr:twoCellAnchor>
  <xdr:twoCellAnchor>
    <xdr:from>
      <xdr:col>2</xdr:col>
      <xdr:colOff>120004</xdr:colOff>
      <xdr:row>18</xdr:row>
      <xdr:rowOff>6020</xdr:rowOff>
    </xdr:from>
    <xdr:to>
      <xdr:col>5</xdr:col>
      <xdr:colOff>161192</xdr:colOff>
      <xdr:row>19</xdr:row>
      <xdr:rowOff>6021</xdr:rowOff>
    </xdr:to>
    <xdr:sp macro="" textlink="J11">
      <xdr:nvSpPr>
        <xdr:cNvPr id="18" name="Rectangle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2367904" y="8464220"/>
          <a:ext cx="2346238" cy="276226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3452266-DEA2-4EE8-A3A3-D66B11143D1C}" type="TxLink">
            <a:rPr lang="en-US" sz="1600" b="0" i="0" u="none" strike="noStrike">
              <a:solidFill>
                <a:srgbClr val="000000"/>
              </a:solidFill>
              <a:latin typeface="Calibri"/>
              <a:cs typeface="Arial"/>
            </a:rPr>
            <a:pPr algn="l"/>
            <a:t> </a:t>
          </a:fld>
          <a:endParaRPr lang="en-CA" sz="1100"/>
        </a:p>
      </xdr:txBody>
    </xdr:sp>
    <xdr:clientData/>
  </xdr:twoCellAnchor>
  <xdr:twoCellAnchor>
    <xdr:from>
      <xdr:col>2</xdr:col>
      <xdr:colOff>115766</xdr:colOff>
      <xdr:row>19</xdr:row>
      <xdr:rowOff>5861</xdr:rowOff>
    </xdr:from>
    <xdr:to>
      <xdr:col>5</xdr:col>
      <xdr:colOff>162984</xdr:colOff>
      <xdr:row>20</xdr:row>
      <xdr:rowOff>5863</xdr:rowOff>
    </xdr:to>
    <xdr:sp macro="" textlink="J12">
      <xdr:nvSpPr>
        <xdr:cNvPr id="19" name="Rectangle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2363666" y="8740286"/>
          <a:ext cx="2352268" cy="276227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E4410060-7150-4782-B81F-99073D1BAA25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 </a:t>
          </a:fld>
          <a:endParaRPr lang="en-CA" sz="1100"/>
        </a:p>
      </xdr:txBody>
    </xdr:sp>
    <xdr:clientData/>
  </xdr:twoCellAnchor>
  <xdr:twoCellAnchor>
    <xdr:from>
      <xdr:col>2</xdr:col>
      <xdr:colOff>115766</xdr:colOff>
      <xdr:row>19</xdr:row>
      <xdr:rowOff>276957</xdr:rowOff>
    </xdr:from>
    <xdr:to>
      <xdr:col>5</xdr:col>
      <xdr:colOff>162984</xdr:colOff>
      <xdr:row>20</xdr:row>
      <xdr:rowOff>276959</xdr:rowOff>
    </xdr:to>
    <xdr:sp macro="" textlink="J13">
      <xdr:nvSpPr>
        <xdr:cNvPr id="20" name="Rectangle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2363666" y="9011382"/>
          <a:ext cx="2352268" cy="276227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0ACD3FF1-3CA7-480A-867F-AC152A0EA0BC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 </a:t>
          </a:fld>
          <a:endParaRPr lang="en-CA" sz="1100"/>
        </a:p>
      </xdr:txBody>
    </xdr:sp>
    <xdr:clientData/>
  </xdr:twoCellAnchor>
  <xdr:twoCellAnchor>
    <xdr:from>
      <xdr:col>2</xdr:col>
      <xdr:colOff>115766</xdr:colOff>
      <xdr:row>20</xdr:row>
      <xdr:rowOff>262303</xdr:rowOff>
    </xdr:from>
    <xdr:to>
      <xdr:col>5</xdr:col>
      <xdr:colOff>162984</xdr:colOff>
      <xdr:row>21</xdr:row>
      <xdr:rowOff>262305</xdr:rowOff>
    </xdr:to>
    <xdr:sp macro="" textlink="J14">
      <xdr:nvSpPr>
        <xdr:cNvPr id="21" name="Rectangle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2363666" y="9272953"/>
          <a:ext cx="2352268" cy="276227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517ED976-6D04-4975-AEFC-CEBEDDEF8F19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 </a:t>
          </a:fld>
          <a:endParaRPr lang="en-CA" sz="1100"/>
        </a:p>
      </xdr:txBody>
    </xdr:sp>
    <xdr:clientData/>
  </xdr:twoCellAnchor>
  <xdr:twoCellAnchor>
    <xdr:from>
      <xdr:col>2</xdr:col>
      <xdr:colOff>115766</xdr:colOff>
      <xdr:row>21</xdr:row>
      <xdr:rowOff>254976</xdr:rowOff>
    </xdr:from>
    <xdr:to>
      <xdr:col>5</xdr:col>
      <xdr:colOff>162984</xdr:colOff>
      <xdr:row>23</xdr:row>
      <xdr:rowOff>5862</xdr:rowOff>
    </xdr:to>
    <xdr:sp macro="" textlink="J15">
      <xdr:nvSpPr>
        <xdr:cNvPr id="22" name="Rectangle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2363666" y="9541851"/>
          <a:ext cx="2352268" cy="284286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93CA0F84-4426-4C40-B047-69D6290DAA7B}" type="TxLink">
            <a:rPr lang="en-US" sz="1600" b="0" i="0" u="none" strike="noStrike">
              <a:solidFill>
                <a:srgbClr val="000000"/>
              </a:solidFill>
              <a:latin typeface="Calibri"/>
            </a:rPr>
            <a:pPr algn="l"/>
            <a:t> </a:t>
          </a:fld>
          <a:endParaRPr lang="en-CA" sz="1100"/>
        </a:p>
      </xdr:txBody>
    </xdr:sp>
    <xdr:clientData/>
  </xdr:twoCellAnchor>
  <xdr:twoCellAnchor>
    <xdr:from>
      <xdr:col>5</xdr:col>
      <xdr:colOff>171608</xdr:colOff>
      <xdr:row>17</xdr:row>
      <xdr:rowOff>7327</xdr:rowOff>
    </xdr:from>
    <xdr:to>
      <xdr:col>8</xdr:col>
      <xdr:colOff>7327</xdr:colOff>
      <xdr:row>18</xdr:row>
      <xdr:rowOff>7329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4724558" y="8189302"/>
          <a:ext cx="2426519" cy="276227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400" b="1" baseline="0">
              <a:solidFill>
                <a:sysClr val="windowText" lastClr="000000"/>
              </a:solidFill>
              <a:latin typeface="Calibri" panose="020F0502020204030204" pitchFamily="34" charset="0"/>
            </a:rPr>
            <a:t>            </a:t>
          </a:r>
          <a:r>
            <a:rPr lang="en-CA" sz="1400" b="1">
              <a:solidFill>
                <a:sysClr val="windowText" lastClr="000000"/>
              </a:solidFill>
              <a:latin typeface="Calibri" panose="020F0502020204030204" pitchFamily="34" charset="0"/>
            </a:rPr>
            <a:t>STORE</a:t>
          </a:r>
        </a:p>
      </xdr:txBody>
    </xdr:sp>
    <xdr:clientData/>
  </xdr:twoCellAnchor>
  <xdr:twoCellAnchor>
    <xdr:from>
      <xdr:col>5</xdr:col>
      <xdr:colOff>168519</xdr:colOff>
      <xdr:row>18</xdr:row>
      <xdr:rowOff>4230</xdr:rowOff>
    </xdr:from>
    <xdr:to>
      <xdr:col>8</xdr:col>
      <xdr:colOff>7327</xdr:colOff>
      <xdr:row>19</xdr:row>
      <xdr:rowOff>4231</xdr:rowOff>
    </xdr:to>
    <xdr:sp macro="" textlink="J16">
      <xdr:nvSpPr>
        <xdr:cNvPr id="24" name="Rectangl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4721469" y="8462430"/>
          <a:ext cx="2429608" cy="276226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8CD77D6F-4E50-45D7-80A0-FA4C3265735D}" type="TxLink">
            <a:rPr lang="en-US" sz="1600" b="0" i="0" u="none" strike="noStrike">
              <a:solidFill>
                <a:srgbClr val="000000"/>
              </a:solidFill>
              <a:latin typeface="Calibri"/>
            </a:rPr>
            <a:pPr algn="l"/>
            <a:t> </a:t>
          </a:fld>
          <a:endParaRPr lang="en-CA" sz="1100"/>
        </a:p>
      </xdr:txBody>
    </xdr:sp>
    <xdr:clientData/>
  </xdr:twoCellAnchor>
  <xdr:twoCellAnchor>
    <xdr:from>
      <xdr:col>5</xdr:col>
      <xdr:colOff>171608</xdr:colOff>
      <xdr:row>19</xdr:row>
      <xdr:rowOff>4071</xdr:rowOff>
    </xdr:from>
    <xdr:to>
      <xdr:col>8</xdr:col>
      <xdr:colOff>7327</xdr:colOff>
      <xdr:row>20</xdr:row>
      <xdr:rowOff>4073</xdr:rowOff>
    </xdr:to>
    <xdr:sp macro="" textlink="#REF!">
      <xdr:nvSpPr>
        <xdr:cNvPr id="25" name="Rectangle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4724558" y="8738496"/>
          <a:ext cx="2426519" cy="276227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44E87761-F326-47D3-BE9E-47E766D20D0F}" type="TxLink">
            <a:rPr lang="en-US" sz="1600" b="0" i="0" u="none" strike="noStrike">
              <a:solidFill>
                <a:srgbClr val="000000"/>
              </a:solidFill>
              <a:latin typeface="Calibri"/>
            </a:rPr>
            <a:pPr algn="l"/>
            <a:t> </a:t>
          </a:fld>
          <a:endParaRPr lang="en-CA" sz="1100"/>
        </a:p>
      </xdr:txBody>
    </xdr:sp>
    <xdr:clientData/>
  </xdr:twoCellAnchor>
  <xdr:twoCellAnchor>
    <xdr:from>
      <xdr:col>5</xdr:col>
      <xdr:colOff>171608</xdr:colOff>
      <xdr:row>19</xdr:row>
      <xdr:rowOff>275167</xdr:rowOff>
    </xdr:from>
    <xdr:to>
      <xdr:col>8</xdr:col>
      <xdr:colOff>8004</xdr:colOff>
      <xdr:row>20</xdr:row>
      <xdr:rowOff>275169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4724558" y="9009592"/>
          <a:ext cx="2427196" cy="276227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5</xdr:col>
      <xdr:colOff>171608</xdr:colOff>
      <xdr:row>20</xdr:row>
      <xdr:rowOff>260513</xdr:rowOff>
    </xdr:from>
    <xdr:to>
      <xdr:col>8</xdr:col>
      <xdr:colOff>8004</xdr:colOff>
      <xdr:row>21</xdr:row>
      <xdr:rowOff>260515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4724558" y="9271163"/>
          <a:ext cx="2427196" cy="276227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5</xdr:col>
      <xdr:colOff>171607</xdr:colOff>
      <xdr:row>21</xdr:row>
      <xdr:rowOff>253186</xdr:rowOff>
    </xdr:from>
    <xdr:to>
      <xdr:col>8</xdr:col>
      <xdr:colOff>8003</xdr:colOff>
      <xdr:row>23</xdr:row>
      <xdr:rowOff>4072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4724557" y="9540061"/>
          <a:ext cx="2427196" cy="284286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</xdr:col>
      <xdr:colOff>1028700</xdr:colOff>
      <xdr:row>17</xdr:row>
      <xdr:rowOff>7327</xdr:rowOff>
    </xdr:from>
    <xdr:to>
      <xdr:col>1</xdr:col>
      <xdr:colOff>1040417</xdr:colOff>
      <xdr:row>23</xdr:row>
      <xdr:rowOff>0</xdr:rowOff>
    </xdr:to>
    <xdr:cxnSp macro="">
      <xdr:nvCxnSpPr>
        <xdr:cNvPr id="29" name="Straight Connector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CxnSpPr/>
      </xdr:nvCxnSpPr>
      <xdr:spPr>
        <a:xfrm flipH="1">
          <a:off x="1562100" y="8189302"/>
          <a:ext cx="11717" cy="1630973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1703614</xdr:colOff>
      <xdr:row>16</xdr:row>
      <xdr:rowOff>262095</xdr:rowOff>
    </xdr:from>
    <xdr:to>
      <xdr:col>2</xdr:col>
      <xdr:colOff>1713029</xdr:colOff>
      <xdr:row>23</xdr:row>
      <xdr:rowOff>16329</xdr:rowOff>
    </xdr:to>
    <xdr:cxnSp macro="">
      <xdr:nvCxnSpPr>
        <xdr:cNvPr id="30" name="Straight Connector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CxnSpPr/>
      </xdr:nvCxnSpPr>
      <xdr:spPr>
        <a:xfrm flipH="1">
          <a:off x="3951514" y="8177370"/>
          <a:ext cx="9415" cy="1659234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386443</xdr:colOff>
      <xdr:row>16</xdr:row>
      <xdr:rowOff>260838</xdr:rowOff>
    </xdr:from>
    <xdr:to>
      <xdr:col>7</xdr:col>
      <xdr:colOff>392717</xdr:colOff>
      <xdr:row>23</xdr:row>
      <xdr:rowOff>10886</xdr:rowOff>
    </xdr:to>
    <xdr:cxnSp macro="">
      <xdr:nvCxnSpPr>
        <xdr:cNvPr id="31" name="Straight Connector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CxnSpPr/>
      </xdr:nvCxnSpPr>
      <xdr:spPr>
        <a:xfrm flipH="1">
          <a:off x="6377668" y="8176113"/>
          <a:ext cx="6274" cy="1655048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7327</xdr:colOff>
      <xdr:row>17</xdr:row>
      <xdr:rowOff>10583</xdr:rowOff>
    </xdr:from>
    <xdr:to>
      <xdr:col>0</xdr:col>
      <xdr:colOff>13182</xdr:colOff>
      <xdr:row>23</xdr:row>
      <xdr:rowOff>63336</xdr:rowOff>
    </xdr:to>
    <xdr:cxnSp macro="">
      <xdr:nvCxnSpPr>
        <xdr:cNvPr id="32" name="Straight Connector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CxnSpPr/>
      </xdr:nvCxnSpPr>
      <xdr:spPr>
        <a:xfrm flipH="1">
          <a:off x="7327" y="8192558"/>
          <a:ext cx="5855" cy="1691053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1062404</xdr:colOff>
      <xdr:row>16</xdr:row>
      <xdr:rowOff>197827</xdr:rowOff>
    </xdr:from>
    <xdr:to>
      <xdr:col>2</xdr:col>
      <xdr:colOff>124558</xdr:colOff>
      <xdr:row>18</xdr:row>
      <xdr:rowOff>73269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 txBox="1"/>
      </xdr:nvSpPr>
      <xdr:spPr>
        <a:xfrm>
          <a:off x="1595804" y="8113102"/>
          <a:ext cx="776654" cy="4183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700" b="1">
              <a:latin typeface="Calibri" panose="020F0502020204030204" pitchFamily="34" charset="0"/>
            </a:rPr>
            <a:t>D8D4</a:t>
          </a:r>
        </a:p>
        <a:p>
          <a:pPr algn="ctr"/>
          <a:r>
            <a:rPr lang="en-CA" sz="700" b="1">
              <a:latin typeface="Calibri" panose="020F0502020204030204" pitchFamily="34" charset="0"/>
            </a:rPr>
            <a:t>RECEIVED?</a:t>
          </a:r>
        </a:p>
      </xdr:txBody>
    </xdr:sp>
    <xdr:clientData/>
  </xdr:twoCellAnchor>
  <xdr:twoCellAnchor>
    <xdr:from>
      <xdr:col>2</xdr:col>
      <xdr:colOff>1713035</xdr:colOff>
      <xdr:row>16</xdr:row>
      <xdr:rowOff>203688</xdr:rowOff>
    </xdr:from>
    <xdr:to>
      <xdr:col>5</xdr:col>
      <xdr:colOff>181708</xdr:colOff>
      <xdr:row>18</xdr:row>
      <xdr:rowOff>79130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 txBox="1"/>
      </xdr:nvSpPr>
      <xdr:spPr>
        <a:xfrm>
          <a:off x="3960935" y="8118963"/>
          <a:ext cx="773723" cy="4183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700" b="1">
              <a:latin typeface="Calibri" panose="020F0502020204030204" pitchFamily="34" charset="0"/>
            </a:rPr>
            <a:t>D8D4</a:t>
          </a:r>
        </a:p>
        <a:p>
          <a:pPr algn="ctr"/>
          <a:r>
            <a:rPr lang="en-CA" sz="700" b="1">
              <a:latin typeface="Calibri" panose="020F0502020204030204" pitchFamily="34" charset="0"/>
            </a:rPr>
            <a:t>RECEIVED?</a:t>
          </a:r>
        </a:p>
      </xdr:txBody>
    </xdr:sp>
    <xdr:clientData/>
  </xdr:twoCellAnchor>
  <xdr:twoCellAnchor>
    <xdr:from>
      <xdr:col>7</xdr:col>
      <xdr:colOff>400050</xdr:colOff>
      <xdr:row>16</xdr:row>
      <xdr:rowOff>202223</xdr:rowOff>
    </xdr:from>
    <xdr:to>
      <xdr:col>8</xdr:col>
      <xdr:colOff>26377</xdr:colOff>
      <xdr:row>18</xdr:row>
      <xdr:rowOff>77665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 txBox="1"/>
      </xdr:nvSpPr>
      <xdr:spPr>
        <a:xfrm>
          <a:off x="6391275" y="8117498"/>
          <a:ext cx="778852" cy="4183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700" b="1">
              <a:latin typeface="Calibri" panose="020F0502020204030204" pitchFamily="34" charset="0"/>
            </a:rPr>
            <a:t>D8D4</a:t>
          </a:r>
        </a:p>
        <a:p>
          <a:pPr algn="ctr"/>
          <a:r>
            <a:rPr lang="en-CA" sz="700" b="1">
              <a:latin typeface="Calibri" panose="020F0502020204030204" pitchFamily="34" charset="0"/>
            </a:rPr>
            <a:t>RECEIVED?</a:t>
          </a:r>
        </a:p>
      </xdr:txBody>
    </xdr:sp>
    <xdr:clientData/>
  </xdr:twoCellAnchor>
  <xdr:twoCellAnchor>
    <xdr:from>
      <xdr:col>1</xdr:col>
      <xdr:colOff>1333501</xdr:colOff>
      <xdr:row>18</xdr:row>
      <xdr:rowOff>36634</xdr:rowOff>
    </xdr:from>
    <xdr:to>
      <xdr:col>1</xdr:col>
      <xdr:colOff>1553308</xdr:colOff>
      <xdr:row>18</xdr:row>
      <xdr:rowOff>249115</xdr:rowOff>
    </xdr:to>
    <xdr:sp macro="" textlink="">
      <xdr:nvSpPr>
        <xdr:cNvPr id="36" name="Rectangle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1866901" y="8494834"/>
          <a:ext cx="219807" cy="212481"/>
        </a:xfrm>
        <a:prstGeom prst="rect">
          <a:avLst/>
        </a:prstGeom>
        <a:noFill/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</xdr:col>
      <xdr:colOff>1332034</xdr:colOff>
      <xdr:row>19</xdr:row>
      <xdr:rowOff>42497</xdr:rowOff>
    </xdr:from>
    <xdr:to>
      <xdr:col>1</xdr:col>
      <xdr:colOff>1551841</xdr:colOff>
      <xdr:row>19</xdr:row>
      <xdr:rowOff>254978</xdr:rowOff>
    </xdr:to>
    <xdr:sp macro="" textlink="">
      <xdr:nvSpPr>
        <xdr:cNvPr id="37" name="Rectangle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1865434" y="8776922"/>
          <a:ext cx="219807" cy="212481"/>
        </a:xfrm>
        <a:prstGeom prst="rect">
          <a:avLst/>
        </a:prstGeom>
        <a:noFill/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</xdr:col>
      <xdr:colOff>1330567</xdr:colOff>
      <xdr:row>20</xdr:row>
      <xdr:rowOff>33706</xdr:rowOff>
    </xdr:from>
    <xdr:to>
      <xdr:col>1</xdr:col>
      <xdr:colOff>1550374</xdr:colOff>
      <xdr:row>20</xdr:row>
      <xdr:rowOff>246187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1863967" y="9044356"/>
          <a:ext cx="219807" cy="212481"/>
        </a:xfrm>
        <a:prstGeom prst="rect">
          <a:avLst/>
        </a:prstGeom>
        <a:noFill/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</xdr:col>
      <xdr:colOff>1336427</xdr:colOff>
      <xdr:row>21</xdr:row>
      <xdr:rowOff>24915</xdr:rowOff>
    </xdr:from>
    <xdr:to>
      <xdr:col>1</xdr:col>
      <xdr:colOff>1556234</xdr:colOff>
      <xdr:row>21</xdr:row>
      <xdr:rowOff>237396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869827" y="9311790"/>
          <a:ext cx="219807" cy="212481"/>
        </a:xfrm>
        <a:prstGeom prst="rect">
          <a:avLst/>
        </a:prstGeom>
        <a:noFill/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</xdr:col>
      <xdr:colOff>1334960</xdr:colOff>
      <xdr:row>22</xdr:row>
      <xdr:rowOff>30778</xdr:rowOff>
    </xdr:from>
    <xdr:to>
      <xdr:col>1</xdr:col>
      <xdr:colOff>1554767</xdr:colOff>
      <xdr:row>22</xdr:row>
      <xdr:rowOff>243259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868360" y="9584353"/>
          <a:ext cx="219807" cy="212481"/>
        </a:xfrm>
        <a:prstGeom prst="rect">
          <a:avLst/>
        </a:prstGeom>
        <a:noFill/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4</xdr:col>
      <xdr:colOff>218342</xdr:colOff>
      <xdr:row>18</xdr:row>
      <xdr:rowOff>35169</xdr:rowOff>
    </xdr:from>
    <xdr:to>
      <xdr:col>4</xdr:col>
      <xdr:colOff>438149</xdr:colOff>
      <xdr:row>18</xdr:row>
      <xdr:rowOff>247650</xdr:rowOff>
    </xdr:to>
    <xdr:sp macro="" textlink="">
      <xdr:nvSpPr>
        <xdr:cNvPr id="41" name="Rectangle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4237892" y="8493369"/>
          <a:ext cx="219807" cy="212481"/>
        </a:xfrm>
        <a:prstGeom prst="rect">
          <a:avLst/>
        </a:prstGeom>
        <a:noFill/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4</xdr:col>
      <xdr:colOff>216875</xdr:colOff>
      <xdr:row>19</xdr:row>
      <xdr:rowOff>41032</xdr:rowOff>
    </xdr:from>
    <xdr:to>
      <xdr:col>4</xdr:col>
      <xdr:colOff>436682</xdr:colOff>
      <xdr:row>19</xdr:row>
      <xdr:rowOff>253513</xdr:rowOff>
    </xdr:to>
    <xdr:sp macro="" textlink="">
      <xdr:nvSpPr>
        <xdr:cNvPr id="42" name="Rectangle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4236425" y="8775457"/>
          <a:ext cx="219807" cy="212481"/>
        </a:xfrm>
        <a:prstGeom prst="rect">
          <a:avLst/>
        </a:prstGeom>
        <a:noFill/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4</xdr:col>
      <xdr:colOff>215408</xdr:colOff>
      <xdr:row>20</xdr:row>
      <xdr:rowOff>32241</xdr:rowOff>
    </xdr:from>
    <xdr:to>
      <xdr:col>4</xdr:col>
      <xdr:colOff>435215</xdr:colOff>
      <xdr:row>20</xdr:row>
      <xdr:rowOff>244722</xdr:rowOff>
    </xdr:to>
    <xdr:sp macro="" textlink="">
      <xdr:nvSpPr>
        <xdr:cNvPr id="43" name="Rectangle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4234958" y="9042891"/>
          <a:ext cx="219807" cy="212481"/>
        </a:xfrm>
        <a:prstGeom prst="rect">
          <a:avLst/>
        </a:prstGeom>
        <a:noFill/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4</xdr:col>
      <xdr:colOff>221268</xdr:colOff>
      <xdr:row>21</xdr:row>
      <xdr:rowOff>23450</xdr:rowOff>
    </xdr:from>
    <xdr:to>
      <xdr:col>4</xdr:col>
      <xdr:colOff>441075</xdr:colOff>
      <xdr:row>21</xdr:row>
      <xdr:rowOff>235931</xdr:rowOff>
    </xdr:to>
    <xdr:sp macro="" textlink="">
      <xdr:nvSpPr>
        <xdr:cNvPr id="44" name="Rectangl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4240818" y="9310325"/>
          <a:ext cx="219807" cy="212481"/>
        </a:xfrm>
        <a:prstGeom prst="rect">
          <a:avLst/>
        </a:prstGeom>
        <a:noFill/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4</xdr:col>
      <xdr:colOff>219801</xdr:colOff>
      <xdr:row>22</xdr:row>
      <xdr:rowOff>29313</xdr:rowOff>
    </xdr:from>
    <xdr:to>
      <xdr:col>4</xdr:col>
      <xdr:colOff>439608</xdr:colOff>
      <xdr:row>22</xdr:row>
      <xdr:rowOff>241794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4239351" y="9582888"/>
          <a:ext cx="219807" cy="212481"/>
        </a:xfrm>
        <a:prstGeom prst="rect">
          <a:avLst/>
        </a:prstGeom>
        <a:noFill/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7</xdr:col>
      <xdr:colOff>671146</xdr:colOff>
      <xdr:row>18</xdr:row>
      <xdr:rowOff>33704</xdr:rowOff>
    </xdr:from>
    <xdr:to>
      <xdr:col>7</xdr:col>
      <xdr:colOff>890953</xdr:colOff>
      <xdr:row>18</xdr:row>
      <xdr:rowOff>246185</xdr:rowOff>
    </xdr:to>
    <xdr:sp macro="" textlink="">
      <xdr:nvSpPr>
        <xdr:cNvPr id="46" name="Rectangl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6662371" y="8491904"/>
          <a:ext cx="219807" cy="212481"/>
        </a:xfrm>
        <a:prstGeom prst="rect">
          <a:avLst/>
        </a:prstGeom>
        <a:noFill/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7</xdr:col>
      <xdr:colOff>669679</xdr:colOff>
      <xdr:row>19</xdr:row>
      <xdr:rowOff>39567</xdr:rowOff>
    </xdr:from>
    <xdr:to>
      <xdr:col>7</xdr:col>
      <xdr:colOff>889486</xdr:colOff>
      <xdr:row>19</xdr:row>
      <xdr:rowOff>252048</xdr:rowOff>
    </xdr:to>
    <xdr:sp macro="" textlink="">
      <xdr:nvSpPr>
        <xdr:cNvPr id="47" name="Rectangle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660904" y="8773992"/>
          <a:ext cx="219807" cy="212481"/>
        </a:xfrm>
        <a:prstGeom prst="rect">
          <a:avLst/>
        </a:prstGeom>
        <a:noFill/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7</xdr:col>
      <xdr:colOff>668212</xdr:colOff>
      <xdr:row>20</xdr:row>
      <xdr:rowOff>30776</xdr:rowOff>
    </xdr:from>
    <xdr:to>
      <xdr:col>7</xdr:col>
      <xdr:colOff>888019</xdr:colOff>
      <xdr:row>20</xdr:row>
      <xdr:rowOff>243257</xdr:rowOff>
    </xdr:to>
    <xdr:sp macro="" textlink="">
      <xdr:nvSpPr>
        <xdr:cNvPr id="48" name="Rectangle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6659437" y="9041426"/>
          <a:ext cx="219807" cy="212481"/>
        </a:xfrm>
        <a:prstGeom prst="rect">
          <a:avLst/>
        </a:prstGeom>
        <a:noFill/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7</xdr:col>
      <xdr:colOff>674072</xdr:colOff>
      <xdr:row>21</xdr:row>
      <xdr:rowOff>21985</xdr:rowOff>
    </xdr:from>
    <xdr:to>
      <xdr:col>7</xdr:col>
      <xdr:colOff>893879</xdr:colOff>
      <xdr:row>21</xdr:row>
      <xdr:rowOff>234466</xdr:rowOff>
    </xdr:to>
    <xdr:sp macro="" textlink="">
      <xdr:nvSpPr>
        <xdr:cNvPr id="49" name="Rectangle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6665297" y="9308860"/>
          <a:ext cx="219807" cy="212481"/>
        </a:xfrm>
        <a:prstGeom prst="rect">
          <a:avLst/>
        </a:prstGeom>
        <a:noFill/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7</xdr:col>
      <xdr:colOff>672605</xdr:colOff>
      <xdr:row>22</xdr:row>
      <xdr:rowOff>27848</xdr:rowOff>
    </xdr:from>
    <xdr:to>
      <xdr:col>7</xdr:col>
      <xdr:colOff>892412</xdr:colOff>
      <xdr:row>22</xdr:row>
      <xdr:rowOff>240329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663830" y="9581423"/>
          <a:ext cx="219807" cy="212481"/>
        </a:xfrm>
        <a:prstGeom prst="rect">
          <a:avLst/>
        </a:prstGeom>
        <a:noFill/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0</xdr:col>
      <xdr:colOff>0</xdr:colOff>
      <xdr:row>2</xdr:row>
      <xdr:rowOff>35718</xdr:rowOff>
    </xdr:from>
    <xdr:to>
      <xdr:col>0</xdr:col>
      <xdr:colOff>578644</xdr:colOff>
      <xdr:row>7</xdr:row>
      <xdr:rowOff>523874</xdr:rowOff>
    </xdr:to>
    <xdr:sp macro="" textlink="">
      <xdr:nvSpPr>
        <xdr:cNvPr id="51" name="WordArt 2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>
          <a:spLocks noChangeArrowheads="1" noChangeShapeType="1" noTextEdit="1"/>
        </xdr:cNvSpPr>
      </xdr:nvSpPr>
      <xdr:spPr bwMode="auto">
        <a:xfrm rot="5400000">
          <a:off x="-1121568" y="1728786"/>
          <a:ext cx="2774156" cy="531019"/>
        </a:xfrm>
        <a:prstGeom prst="rect">
          <a:avLst/>
        </a:prstGeom>
      </xdr:spPr>
      <xdr:txBody>
        <a:bodyPr vert="wordArtVert"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 fontAlgn="auto"/>
          <a:r>
            <a:rPr lang="en-US" sz="3600" kern="10" spc="0">
              <a:ln w="12700">
                <a:solidFill>
                  <a:srgbClr val="000000"/>
                </a:solidFill>
                <a:round/>
                <a:headEnd/>
                <a:tailEnd/>
              </a:ln>
              <a:solidFill>
                <a:srgbClr val="C0C0C0"/>
              </a:solidFill>
              <a:effectLst>
                <a:outerShdw dist="53882" dir="2700000" algn="ctr" rotWithShape="0">
                  <a:srgbClr val="CBCBCB">
                    <a:alpha val="80000"/>
                  </a:srgbClr>
                </a:outerShdw>
              </a:effectLst>
              <a:latin typeface="Calibri"/>
            </a:rPr>
            <a:t>Crossways</a:t>
          </a:r>
        </a:p>
      </xdr:txBody>
    </xdr:sp>
    <xdr:clientData/>
  </xdr:twoCellAnchor>
  <xdr:twoCellAnchor>
    <xdr:from>
      <xdr:col>0</xdr:col>
      <xdr:colOff>0</xdr:colOff>
      <xdr:row>2</xdr:row>
      <xdr:rowOff>35718</xdr:rowOff>
    </xdr:from>
    <xdr:to>
      <xdr:col>0</xdr:col>
      <xdr:colOff>578644</xdr:colOff>
      <xdr:row>7</xdr:row>
      <xdr:rowOff>523874</xdr:rowOff>
    </xdr:to>
    <xdr:sp macro="" textlink="">
      <xdr:nvSpPr>
        <xdr:cNvPr id="52" name="WordArt 2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>
          <a:spLocks noChangeArrowheads="1" noChangeShapeType="1" noTextEdit="1"/>
        </xdr:cNvSpPr>
      </xdr:nvSpPr>
      <xdr:spPr bwMode="auto">
        <a:xfrm rot="5400000">
          <a:off x="-1121568" y="1728786"/>
          <a:ext cx="2774156" cy="531019"/>
        </a:xfrm>
        <a:prstGeom prst="rect">
          <a:avLst/>
        </a:prstGeom>
      </xdr:spPr>
      <xdr:txBody>
        <a:bodyPr vert="wordArtVert"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 fontAlgn="auto"/>
          <a:r>
            <a:rPr lang="en-US" sz="3600" kern="10" spc="0">
              <a:ln w="12700">
                <a:solidFill>
                  <a:srgbClr val="000000"/>
                </a:solidFill>
                <a:round/>
                <a:headEnd/>
                <a:tailEnd/>
              </a:ln>
              <a:solidFill>
                <a:srgbClr val="C0C0C0"/>
              </a:solidFill>
              <a:effectLst>
                <a:outerShdw dist="53882" dir="2700000" algn="ctr" rotWithShape="0">
                  <a:srgbClr val="CBCBCB">
                    <a:alpha val="80000"/>
                  </a:srgbClr>
                </a:outerShdw>
              </a:effectLst>
              <a:latin typeface="Calibri"/>
            </a:rPr>
            <a:t>Crossways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361950</xdr:colOff>
          <xdr:row>8</xdr:row>
          <xdr:rowOff>209550</xdr:rowOff>
        </xdr:from>
        <xdr:to>
          <xdr:col>21</xdr:col>
          <xdr:colOff>374650</xdr:colOff>
          <xdr:row>9</xdr:row>
          <xdr:rowOff>241300</xdr:rowOff>
        </xdr:to>
        <xdr:sp macro="" textlink="">
          <xdr:nvSpPr>
            <xdr:cNvPr id="15366" name="Button 6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1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PULL BW SKIDS TO 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381000</xdr:colOff>
          <xdr:row>10</xdr:row>
          <xdr:rowOff>127000</xdr:rowOff>
        </xdr:from>
        <xdr:to>
          <xdr:col>22</xdr:col>
          <xdr:colOff>146050</xdr:colOff>
          <xdr:row>11</xdr:row>
          <xdr:rowOff>374650</xdr:rowOff>
        </xdr:to>
        <xdr:sp macro="" textlink="">
          <xdr:nvSpPr>
            <xdr:cNvPr id="15378" name="Button 18" hidden="1">
              <a:extLst>
                <a:ext uri="{63B3BB69-23CF-44E3-9099-C40C66FF867C}">
                  <a14:compatExt spid="_x0000_s15378"/>
                </a:ext>
                <a:ext uri="{FF2B5EF4-FFF2-40B4-BE49-F238E27FC236}">
                  <a16:creationId xmlns:a16="http://schemas.microsoft.com/office/drawing/2014/main" id="{00000000-0008-0000-0100-00001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Mail and Reset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152400</xdr:colOff>
      <xdr:row>7</xdr:row>
      <xdr:rowOff>371475</xdr:rowOff>
    </xdr:from>
    <xdr:to>
      <xdr:col>4</xdr:col>
      <xdr:colOff>495300</xdr:colOff>
      <xdr:row>16</xdr:row>
      <xdr:rowOff>0</xdr:rowOff>
    </xdr:to>
    <xdr:sp macro="" textlink="">
      <xdr:nvSpPr>
        <xdr:cNvPr id="2" name="AutoSha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Arrowheads="1"/>
        </xdr:cNvSpPr>
      </xdr:nvSpPr>
      <xdr:spPr bwMode="auto">
        <a:xfrm rot="5400000">
          <a:off x="2000250" y="5400675"/>
          <a:ext cx="4686300" cy="342900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43208067 h 21600"/>
            <a:gd name="T4" fmla="*/ 2147483647 w 21600"/>
            <a:gd name="T5" fmla="*/ 86416134 h 21600"/>
            <a:gd name="T6" fmla="*/ 2147483647 w 21600"/>
            <a:gd name="T7" fmla="*/ 4320806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28575</xdr:colOff>
      <xdr:row>3</xdr:row>
      <xdr:rowOff>19050</xdr:rowOff>
    </xdr:from>
    <xdr:to>
      <xdr:col>5</xdr:col>
      <xdr:colOff>0</xdr:colOff>
      <xdr:row>7</xdr:row>
      <xdr:rowOff>285750</xdr:rowOff>
    </xdr:to>
    <xdr:sp macro="" textlink="">
      <xdr:nvSpPr>
        <xdr:cNvPr id="3" name="Word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Arrowheads="1" noChangeShapeType="1" noTextEdit="1"/>
        </xdr:cNvSpPr>
      </xdr:nvSpPr>
      <xdr:spPr bwMode="auto">
        <a:xfrm rot="5400000">
          <a:off x="3043238" y="1633537"/>
          <a:ext cx="2514600" cy="504825"/>
        </a:xfrm>
        <a:prstGeom prst="rect">
          <a:avLst/>
        </a:prstGeom>
      </xdr:spPr>
      <xdr:txBody>
        <a:bodyPr vert="wordArtVert"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 fontAlgn="auto"/>
          <a:r>
            <a:rPr lang="en-US" sz="3600" kern="10" spc="0">
              <a:ln w="12700">
                <a:solidFill>
                  <a:srgbClr val="000000"/>
                </a:solidFill>
                <a:round/>
                <a:headEnd/>
                <a:tailEnd/>
              </a:ln>
              <a:solidFill>
                <a:srgbClr val="C0C0C0"/>
              </a:solidFill>
              <a:effectLst>
                <a:outerShdw dist="53882" dir="2700000" algn="ctr" rotWithShape="0">
                  <a:srgbClr val="CBCBCB">
                    <a:alpha val="80000"/>
                  </a:srgbClr>
                </a:outerShdw>
              </a:effectLst>
              <a:latin typeface="Calibri"/>
            </a:rPr>
            <a:t>Crossways</a:t>
          </a:r>
        </a:p>
      </xdr:txBody>
    </xdr:sp>
    <xdr:clientData/>
  </xdr:twoCellAnchor>
  <xdr:twoCellAnchor>
    <xdr:from>
      <xdr:col>0</xdr:col>
      <xdr:colOff>107157</xdr:colOff>
      <xdr:row>8</xdr:row>
      <xdr:rowOff>107156</xdr:rowOff>
    </xdr:from>
    <xdr:to>
      <xdr:col>0</xdr:col>
      <xdr:colOff>450057</xdr:colOff>
      <xdr:row>16</xdr:row>
      <xdr:rowOff>0</xdr:rowOff>
    </xdr:to>
    <xdr:sp macro="" textlink="">
      <xdr:nvSpPr>
        <xdr:cNvPr id="4" name="AutoShape 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Arrowheads="1"/>
        </xdr:cNvSpPr>
      </xdr:nvSpPr>
      <xdr:spPr bwMode="auto">
        <a:xfrm rot="5400000">
          <a:off x="-1915715" y="5549503"/>
          <a:ext cx="4388644" cy="342900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43208067 h 21600"/>
            <a:gd name="T4" fmla="*/ 2147483647 w 21600"/>
            <a:gd name="T5" fmla="*/ 86416134 h 21600"/>
            <a:gd name="T6" fmla="*/ 2147483647 w 21600"/>
            <a:gd name="T7" fmla="*/ 4320806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2</xdr:row>
      <xdr:rowOff>35718</xdr:rowOff>
    </xdr:from>
    <xdr:to>
      <xdr:col>0</xdr:col>
      <xdr:colOff>578644</xdr:colOff>
      <xdr:row>7</xdr:row>
      <xdr:rowOff>523874</xdr:rowOff>
    </xdr:to>
    <xdr:sp macro="" textlink="">
      <xdr:nvSpPr>
        <xdr:cNvPr id="5" name="WordArt 2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Arrowheads="1" noChangeShapeType="1" noTextEdit="1"/>
        </xdr:cNvSpPr>
      </xdr:nvSpPr>
      <xdr:spPr bwMode="auto">
        <a:xfrm rot="5400000">
          <a:off x="-1121568" y="1728786"/>
          <a:ext cx="2774156" cy="531019"/>
        </a:xfrm>
        <a:prstGeom prst="rect">
          <a:avLst/>
        </a:prstGeom>
      </xdr:spPr>
      <xdr:txBody>
        <a:bodyPr vert="wordArtVert"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 fontAlgn="auto"/>
          <a:r>
            <a:rPr lang="en-US" sz="3600" kern="10" spc="0">
              <a:ln w="12700">
                <a:solidFill>
                  <a:srgbClr val="000000"/>
                </a:solidFill>
                <a:round/>
                <a:headEnd/>
                <a:tailEnd/>
              </a:ln>
              <a:solidFill>
                <a:srgbClr val="C0C0C0"/>
              </a:solidFill>
              <a:effectLst>
                <a:outerShdw dist="53882" dir="2700000" algn="ctr" rotWithShape="0">
                  <a:srgbClr val="CBCBCB">
                    <a:alpha val="80000"/>
                  </a:srgbClr>
                </a:outerShdw>
              </a:effectLst>
              <a:latin typeface="Calibri"/>
            </a:rPr>
            <a:t>Crossways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25</xdr:row>
          <xdr:rowOff>0</xdr:rowOff>
        </xdr:from>
        <xdr:to>
          <xdr:col>7</xdr:col>
          <xdr:colOff>1060450</xdr:colOff>
          <xdr:row>85</xdr:row>
          <xdr:rowOff>152400</xdr:rowOff>
        </xdr:to>
        <xdr:sp macro="" textlink="">
          <xdr:nvSpPr>
            <xdr:cNvPr id="16385" name="Object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2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127000</xdr:colOff>
          <xdr:row>0</xdr:row>
          <xdr:rowOff>0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2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13</xdr:col>
          <xdr:colOff>12700</xdr:colOff>
          <xdr:row>2</xdr:row>
          <xdr:rowOff>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2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Font 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12700</xdr:colOff>
          <xdr:row>0</xdr:row>
          <xdr:rowOff>0</xdr:rowOff>
        </xdr:from>
        <xdr:to>
          <xdr:col>18</xdr:col>
          <xdr:colOff>165100</xdr:colOff>
          <xdr:row>2</xdr:row>
          <xdr:rowOff>0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2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B/W 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190500</xdr:colOff>
          <xdr:row>0</xdr:row>
          <xdr:rowOff>0</xdr:rowOff>
        </xdr:from>
        <xdr:to>
          <xdr:col>20</xdr:col>
          <xdr:colOff>355600</xdr:colOff>
          <xdr:row>2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2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B/W's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7327</xdr:colOff>
      <xdr:row>17</xdr:row>
      <xdr:rowOff>10583</xdr:rowOff>
    </xdr:from>
    <xdr:to>
      <xdr:col>2</xdr:col>
      <xdr:colOff>113161</xdr:colOff>
      <xdr:row>18</xdr:row>
      <xdr:rowOff>10585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7327" y="8192558"/>
          <a:ext cx="2353734" cy="276227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400" b="1">
              <a:solidFill>
                <a:sysClr val="windowText" lastClr="000000"/>
              </a:solidFill>
              <a:latin typeface="Calibri" panose="020F0502020204030204" pitchFamily="34" charset="0"/>
            </a:rPr>
            <a:t>            STORE</a:t>
          </a:r>
        </a:p>
      </xdr:txBody>
    </xdr:sp>
    <xdr:clientData/>
  </xdr:twoCellAnchor>
  <xdr:twoCellAnchor>
    <xdr:from>
      <xdr:col>0</xdr:col>
      <xdr:colOff>14821</xdr:colOff>
      <xdr:row>18</xdr:row>
      <xdr:rowOff>7484</xdr:rowOff>
    </xdr:from>
    <xdr:to>
      <xdr:col>2</xdr:col>
      <xdr:colOff>120655</xdr:colOff>
      <xdr:row>19</xdr:row>
      <xdr:rowOff>7485</xdr:rowOff>
    </xdr:to>
    <xdr:sp macro="" textlink="J6">
      <xdr:nvSpPr>
        <xdr:cNvPr id="12" name="Rectangl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14821" y="8465684"/>
          <a:ext cx="2353734" cy="276226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86E399B3-A2BD-47C7-A344-C6B594F10068}" type="TxLink">
            <a:rPr lang="en-US" sz="1600" b="0" i="0" u="none" strike="noStrike">
              <a:solidFill>
                <a:srgbClr val="000000"/>
              </a:solidFill>
              <a:latin typeface="Calibri"/>
              <a:cs typeface="Arial"/>
            </a:rPr>
            <a:pPr algn="l"/>
            <a:t> </a:t>
          </a:fld>
          <a:endParaRPr lang="en-US"/>
        </a:p>
      </xdr:txBody>
    </xdr:sp>
    <xdr:clientData/>
  </xdr:twoCellAnchor>
  <xdr:twoCellAnchor>
    <xdr:from>
      <xdr:col>0</xdr:col>
      <xdr:colOff>7327</xdr:colOff>
      <xdr:row>19</xdr:row>
      <xdr:rowOff>7327</xdr:rowOff>
    </xdr:from>
    <xdr:to>
      <xdr:col>2</xdr:col>
      <xdr:colOff>113161</xdr:colOff>
      <xdr:row>20</xdr:row>
      <xdr:rowOff>7329</xdr:rowOff>
    </xdr:to>
    <xdr:sp macro="" textlink="J7">
      <xdr:nvSpPr>
        <xdr:cNvPr id="13" name="Rectangl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7327" y="8741752"/>
          <a:ext cx="2353734" cy="276227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6E4648E1-60F2-4D7F-B397-1A858E61BC9C}" type="TxLink">
            <a:rPr lang="en-US" sz="1600" b="0" i="0" u="none" strike="noStrike">
              <a:solidFill>
                <a:srgbClr val="000000"/>
              </a:solidFill>
              <a:latin typeface="Calibri"/>
              <a:cs typeface="Arial"/>
            </a:rPr>
            <a:pPr algn="l"/>
            <a:t> </a:t>
          </a:fld>
          <a:endParaRPr lang="en-CA" sz="1100"/>
        </a:p>
      </xdr:txBody>
    </xdr:sp>
    <xdr:clientData/>
  </xdr:twoCellAnchor>
  <xdr:twoCellAnchor>
    <xdr:from>
      <xdr:col>0</xdr:col>
      <xdr:colOff>7327</xdr:colOff>
      <xdr:row>20</xdr:row>
      <xdr:rowOff>0</xdr:rowOff>
    </xdr:from>
    <xdr:to>
      <xdr:col>2</xdr:col>
      <xdr:colOff>113161</xdr:colOff>
      <xdr:row>21</xdr:row>
      <xdr:rowOff>2</xdr:rowOff>
    </xdr:to>
    <xdr:sp macro="" textlink="J8">
      <xdr:nvSpPr>
        <xdr:cNvPr id="14" name="Rectangl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7327" y="9010650"/>
          <a:ext cx="2353734" cy="276227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5669564C-86EA-4D49-8C06-AD81305335DA}" type="TxLink">
            <a:rPr lang="en-US" sz="1600" b="0" i="0" u="none" strike="noStrike">
              <a:solidFill>
                <a:srgbClr val="000000"/>
              </a:solidFill>
              <a:latin typeface="Calibri"/>
              <a:cs typeface="Arial"/>
            </a:rPr>
            <a:pPr algn="l"/>
            <a:t> </a:t>
          </a:fld>
          <a:endParaRPr lang="en-CA" sz="1100"/>
        </a:p>
      </xdr:txBody>
    </xdr:sp>
    <xdr:clientData/>
  </xdr:twoCellAnchor>
  <xdr:twoCellAnchor>
    <xdr:from>
      <xdr:col>0</xdr:col>
      <xdr:colOff>7327</xdr:colOff>
      <xdr:row>20</xdr:row>
      <xdr:rowOff>263769</xdr:rowOff>
    </xdr:from>
    <xdr:to>
      <xdr:col>2</xdr:col>
      <xdr:colOff>113161</xdr:colOff>
      <xdr:row>22</xdr:row>
      <xdr:rowOff>2</xdr:rowOff>
    </xdr:to>
    <xdr:sp macro="" textlink="J9">
      <xdr:nvSpPr>
        <xdr:cNvPr id="15" name="Rectangl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7327" y="9274419"/>
          <a:ext cx="2353734" cy="279158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8ADC0B1A-BE06-4E51-91A7-C56418AEB95A}" type="TxLink">
            <a:rPr lang="en-US" sz="1600" b="0" i="0" u="none" strike="noStrike">
              <a:solidFill>
                <a:srgbClr val="000000"/>
              </a:solidFill>
              <a:latin typeface="Calibri"/>
              <a:cs typeface="Arial"/>
            </a:rPr>
            <a:pPr algn="l"/>
            <a:t> </a:t>
          </a:fld>
          <a:endParaRPr lang="en-CA" sz="1100"/>
        </a:p>
      </xdr:txBody>
    </xdr:sp>
    <xdr:clientData/>
  </xdr:twoCellAnchor>
  <xdr:twoCellAnchor>
    <xdr:from>
      <xdr:col>0</xdr:col>
      <xdr:colOff>7327</xdr:colOff>
      <xdr:row>21</xdr:row>
      <xdr:rowOff>256442</xdr:rowOff>
    </xdr:from>
    <xdr:to>
      <xdr:col>2</xdr:col>
      <xdr:colOff>113161</xdr:colOff>
      <xdr:row>23</xdr:row>
      <xdr:rowOff>7328</xdr:rowOff>
    </xdr:to>
    <xdr:sp macro="" textlink="J10">
      <xdr:nvSpPr>
        <xdr:cNvPr id="16" name="Rectangle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7327" y="9543317"/>
          <a:ext cx="2353734" cy="284286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C923BA89-8BA6-4C88-AE5E-72875293C08B}" type="TxLink">
            <a:rPr lang="en-US" sz="1600" b="0" i="0" u="none" strike="noStrike">
              <a:solidFill>
                <a:srgbClr val="000000"/>
              </a:solidFill>
              <a:latin typeface="Calibri"/>
              <a:cs typeface="Arial"/>
            </a:rPr>
            <a:pPr algn="l"/>
            <a:t> </a:t>
          </a:fld>
          <a:endParaRPr lang="en-CA" sz="1100"/>
        </a:p>
      </xdr:txBody>
    </xdr:sp>
    <xdr:clientData/>
  </xdr:twoCellAnchor>
  <xdr:twoCellAnchor>
    <xdr:from>
      <xdr:col>2</xdr:col>
      <xdr:colOff>115766</xdr:colOff>
      <xdr:row>17</xdr:row>
      <xdr:rowOff>9117</xdr:rowOff>
    </xdr:from>
    <xdr:to>
      <xdr:col>5</xdr:col>
      <xdr:colOff>162984</xdr:colOff>
      <xdr:row>18</xdr:row>
      <xdr:rowOff>9119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2363666" y="8191092"/>
          <a:ext cx="2352268" cy="276227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400" b="1">
              <a:solidFill>
                <a:sysClr val="windowText" lastClr="000000"/>
              </a:solidFill>
              <a:latin typeface="Calibri" panose="020F0502020204030204" pitchFamily="34" charset="0"/>
            </a:rPr>
            <a:t>            STORE</a:t>
          </a:r>
        </a:p>
      </xdr:txBody>
    </xdr:sp>
    <xdr:clientData/>
  </xdr:twoCellAnchor>
  <xdr:twoCellAnchor>
    <xdr:from>
      <xdr:col>2</xdr:col>
      <xdr:colOff>120004</xdr:colOff>
      <xdr:row>18</xdr:row>
      <xdr:rowOff>6020</xdr:rowOff>
    </xdr:from>
    <xdr:to>
      <xdr:col>5</xdr:col>
      <xdr:colOff>161192</xdr:colOff>
      <xdr:row>19</xdr:row>
      <xdr:rowOff>6021</xdr:rowOff>
    </xdr:to>
    <xdr:sp macro="" textlink="J11">
      <xdr:nvSpPr>
        <xdr:cNvPr id="18" name="Rectangle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2367904" y="8464220"/>
          <a:ext cx="2346238" cy="276226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3452266-DEA2-4EE8-A3A3-D66B11143D1C}" type="TxLink">
            <a:rPr lang="en-US" sz="1600" b="0" i="0" u="none" strike="noStrike">
              <a:solidFill>
                <a:srgbClr val="000000"/>
              </a:solidFill>
              <a:latin typeface="Calibri"/>
              <a:cs typeface="Arial"/>
            </a:rPr>
            <a:pPr algn="l"/>
            <a:t> </a:t>
          </a:fld>
          <a:endParaRPr lang="en-CA" sz="1100"/>
        </a:p>
      </xdr:txBody>
    </xdr:sp>
    <xdr:clientData/>
  </xdr:twoCellAnchor>
  <xdr:twoCellAnchor>
    <xdr:from>
      <xdr:col>2</xdr:col>
      <xdr:colOff>115766</xdr:colOff>
      <xdr:row>19</xdr:row>
      <xdr:rowOff>5861</xdr:rowOff>
    </xdr:from>
    <xdr:to>
      <xdr:col>5</xdr:col>
      <xdr:colOff>162984</xdr:colOff>
      <xdr:row>20</xdr:row>
      <xdr:rowOff>5863</xdr:rowOff>
    </xdr:to>
    <xdr:sp macro="" textlink="J12">
      <xdr:nvSpPr>
        <xdr:cNvPr id="19" name="Rectangle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2363666" y="8740286"/>
          <a:ext cx="2352268" cy="276227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079EA7F7-DC23-4C0F-A2DD-C274C71A0B03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 </a:t>
          </a:fld>
          <a:endParaRPr lang="en-CA" sz="1100"/>
        </a:p>
      </xdr:txBody>
    </xdr:sp>
    <xdr:clientData/>
  </xdr:twoCellAnchor>
  <xdr:twoCellAnchor>
    <xdr:from>
      <xdr:col>2</xdr:col>
      <xdr:colOff>115766</xdr:colOff>
      <xdr:row>19</xdr:row>
      <xdr:rowOff>276957</xdr:rowOff>
    </xdr:from>
    <xdr:to>
      <xdr:col>5</xdr:col>
      <xdr:colOff>162984</xdr:colOff>
      <xdr:row>20</xdr:row>
      <xdr:rowOff>276959</xdr:rowOff>
    </xdr:to>
    <xdr:sp macro="" textlink="J13">
      <xdr:nvSpPr>
        <xdr:cNvPr id="20" name="Rectangle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2363666" y="9011382"/>
          <a:ext cx="2352268" cy="276227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42BB68E8-B5EB-4D9B-B10F-126C1933AB2A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 </a:t>
          </a:fld>
          <a:endParaRPr lang="en-CA" sz="1100"/>
        </a:p>
      </xdr:txBody>
    </xdr:sp>
    <xdr:clientData/>
  </xdr:twoCellAnchor>
  <xdr:twoCellAnchor>
    <xdr:from>
      <xdr:col>2</xdr:col>
      <xdr:colOff>115766</xdr:colOff>
      <xdr:row>20</xdr:row>
      <xdr:rowOff>262303</xdr:rowOff>
    </xdr:from>
    <xdr:to>
      <xdr:col>5</xdr:col>
      <xdr:colOff>162984</xdr:colOff>
      <xdr:row>21</xdr:row>
      <xdr:rowOff>262305</xdr:rowOff>
    </xdr:to>
    <xdr:sp macro="" textlink="J14">
      <xdr:nvSpPr>
        <xdr:cNvPr id="21" name="Rectangle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2363666" y="9272953"/>
          <a:ext cx="2352268" cy="276227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B33D0362-C7F2-4DFD-8DF6-2497BF4404C0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 </a:t>
          </a:fld>
          <a:endParaRPr lang="en-CA" sz="1100"/>
        </a:p>
      </xdr:txBody>
    </xdr:sp>
    <xdr:clientData/>
  </xdr:twoCellAnchor>
  <xdr:twoCellAnchor>
    <xdr:from>
      <xdr:col>2</xdr:col>
      <xdr:colOff>115766</xdr:colOff>
      <xdr:row>21</xdr:row>
      <xdr:rowOff>254976</xdr:rowOff>
    </xdr:from>
    <xdr:to>
      <xdr:col>5</xdr:col>
      <xdr:colOff>162984</xdr:colOff>
      <xdr:row>23</xdr:row>
      <xdr:rowOff>5862</xdr:rowOff>
    </xdr:to>
    <xdr:sp macro="" textlink="J15">
      <xdr:nvSpPr>
        <xdr:cNvPr id="22" name="Rectangle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2363666" y="9541851"/>
          <a:ext cx="2352268" cy="284286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93CA0F84-4426-4C40-B047-69D6290DAA7B}" type="TxLink">
            <a:rPr lang="en-US" sz="1600" b="0" i="0" u="none" strike="noStrike">
              <a:solidFill>
                <a:srgbClr val="000000"/>
              </a:solidFill>
              <a:latin typeface="Calibri"/>
            </a:rPr>
            <a:pPr algn="l"/>
            <a:t> </a:t>
          </a:fld>
          <a:endParaRPr lang="en-CA" sz="1100"/>
        </a:p>
      </xdr:txBody>
    </xdr:sp>
    <xdr:clientData/>
  </xdr:twoCellAnchor>
  <xdr:twoCellAnchor>
    <xdr:from>
      <xdr:col>5</xdr:col>
      <xdr:colOff>171608</xdr:colOff>
      <xdr:row>17</xdr:row>
      <xdr:rowOff>7327</xdr:rowOff>
    </xdr:from>
    <xdr:to>
      <xdr:col>8</xdr:col>
      <xdr:colOff>7327</xdr:colOff>
      <xdr:row>18</xdr:row>
      <xdr:rowOff>7329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4724558" y="8189302"/>
          <a:ext cx="2426519" cy="276227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400" b="1" baseline="0">
              <a:solidFill>
                <a:sysClr val="windowText" lastClr="000000"/>
              </a:solidFill>
              <a:latin typeface="Calibri" panose="020F0502020204030204" pitchFamily="34" charset="0"/>
            </a:rPr>
            <a:t>            </a:t>
          </a:r>
          <a:r>
            <a:rPr lang="en-CA" sz="1400" b="1">
              <a:solidFill>
                <a:sysClr val="windowText" lastClr="000000"/>
              </a:solidFill>
              <a:latin typeface="Calibri" panose="020F0502020204030204" pitchFamily="34" charset="0"/>
            </a:rPr>
            <a:t>STORE</a:t>
          </a:r>
        </a:p>
      </xdr:txBody>
    </xdr:sp>
    <xdr:clientData/>
  </xdr:twoCellAnchor>
  <xdr:twoCellAnchor>
    <xdr:from>
      <xdr:col>5</xdr:col>
      <xdr:colOff>168519</xdr:colOff>
      <xdr:row>18</xdr:row>
      <xdr:rowOff>4230</xdr:rowOff>
    </xdr:from>
    <xdr:to>
      <xdr:col>8</xdr:col>
      <xdr:colOff>7327</xdr:colOff>
      <xdr:row>19</xdr:row>
      <xdr:rowOff>4231</xdr:rowOff>
    </xdr:to>
    <xdr:sp macro="" textlink="J16">
      <xdr:nvSpPr>
        <xdr:cNvPr id="24" name="Rectangle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4721469" y="8462430"/>
          <a:ext cx="2429608" cy="276226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8CD77D6F-4E50-45D7-80A0-FA4C3265735D}" type="TxLink">
            <a:rPr lang="en-US" sz="1600" b="0" i="0" u="none" strike="noStrike">
              <a:solidFill>
                <a:srgbClr val="000000"/>
              </a:solidFill>
              <a:latin typeface="Calibri"/>
            </a:rPr>
            <a:pPr algn="l"/>
            <a:t> </a:t>
          </a:fld>
          <a:endParaRPr lang="en-CA" sz="1100"/>
        </a:p>
      </xdr:txBody>
    </xdr:sp>
    <xdr:clientData/>
  </xdr:twoCellAnchor>
  <xdr:twoCellAnchor>
    <xdr:from>
      <xdr:col>5</xdr:col>
      <xdr:colOff>171608</xdr:colOff>
      <xdr:row>19</xdr:row>
      <xdr:rowOff>4071</xdr:rowOff>
    </xdr:from>
    <xdr:to>
      <xdr:col>8</xdr:col>
      <xdr:colOff>7327</xdr:colOff>
      <xdr:row>20</xdr:row>
      <xdr:rowOff>4073</xdr:rowOff>
    </xdr:to>
    <xdr:sp macro="" textlink="J17">
      <xdr:nvSpPr>
        <xdr:cNvPr id="25" name="Rectangle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4724558" y="8738496"/>
          <a:ext cx="2426519" cy="276227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44E87761-F326-47D3-BE9E-47E766D20D0F}" type="TxLink">
            <a:rPr lang="en-US" sz="1600" b="0" i="0" u="none" strike="noStrike">
              <a:solidFill>
                <a:srgbClr val="000000"/>
              </a:solidFill>
              <a:latin typeface="Calibri"/>
            </a:rPr>
            <a:pPr algn="l"/>
            <a:t> </a:t>
          </a:fld>
          <a:endParaRPr lang="en-CA" sz="1100"/>
        </a:p>
      </xdr:txBody>
    </xdr:sp>
    <xdr:clientData/>
  </xdr:twoCellAnchor>
  <xdr:twoCellAnchor>
    <xdr:from>
      <xdr:col>5</xdr:col>
      <xdr:colOff>171608</xdr:colOff>
      <xdr:row>19</xdr:row>
      <xdr:rowOff>275167</xdr:rowOff>
    </xdr:from>
    <xdr:to>
      <xdr:col>8</xdr:col>
      <xdr:colOff>8004</xdr:colOff>
      <xdr:row>20</xdr:row>
      <xdr:rowOff>275169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4724558" y="9009592"/>
          <a:ext cx="2427196" cy="276227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5</xdr:col>
      <xdr:colOff>171608</xdr:colOff>
      <xdr:row>20</xdr:row>
      <xdr:rowOff>260513</xdr:rowOff>
    </xdr:from>
    <xdr:to>
      <xdr:col>8</xdr:col>
      <xdr:colOff>8004</xdr:colOff>
      <xdr:row>21</xdr:row>
      <xdr:rowOff>260515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4724558" y="9271163"/>
          <a:ext cx="2427196" cy="276227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5</xdr:col>
      <xdr:colOff>171607</xdr:colOff>
      <xdr:row>21</xdr:row>
      <xdr:rowOff>253186</xdr:rowOff>
    </xdr:from>
    <xdr:to>
      <xdr:col>8</xdr:col>
      <xdr:colOff>8003</xdr:colOff>
      <xdr:row>23</xdr:row>
      <xdr:rowOff>4072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>
        <a:xfrm>
          <a:off x="4724557" y="9540061"/>
          <a:ext cx="2427196" cy="284286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</xdr:col>
      <xdr:colOff>1028700</xdr:colOff>
      <xdr:row>17</xdr:row>
      <xdr:rowOff>7327</xdr:rowOff>
    </xdr:from>
    <xdr:to>
      <xdr:col>1</xdr:col>
      <xdr:colOff>1040417</xdr:colOff>
      <xdr:row>23</xdr:row>
      <xdr:rowOff>0</xdr:rowOff>
    </xdr:to>
    <xdr:cxnSp macro="">
      <xdr:nvCxnSpPr>
        <xdr:cNvPr id="29" name="Straight Connector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CxnSpPr/>
      </xdr:nvCxnSpPr>
      <xdr:spPr>
        <a:xfrm flipH="1">
          <a:off x="1562100" y="8189302"/>
          <a:ext cx="11717" cy="1630973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1703614</xdr:colOff>
      <xdr:row>16</xdr:row>
      <xdr:rowOff>262095</xdr:rowOff>
    </xdr:from>
    <xdr:to>
      <xdr:col>2</xdr:col>
      <xdr:colOff>1713029</xdr:colOff>
      <xdr:row>23</xdr:row>
      <xdr:rowOff>16329</xdr:rowOff>
    </xdr:to>
    <xdr:cxnSp macro="">
      <xdr:nvCxnSpPr>
        <xdr:cNvPr id="30" name="Straight Connector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CxnSpPr/>
      </xdr:nvCxnSpPr>
      <xdr:spPr>
        <a:xfrm flipH="1">
          <a:off x="3951514" y="8177370"/>
          <a:ext cx="9415" cy="1659234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386443</xdr:colOff>
      <xdr:row>16</xdr:row>
      <xdr:rowOff>260838</xdr:rowOff>
    </xdr:from>
    <xdr:to>
      <xdr:col>7</xdr:col>
      <xdr:colOff>392717</xdr:colOff>
      <xdr:row>23</xdr:row>
      <xdr:rowOff>10886</xdr:rowOff>
    </xdr:to>
    <xdr:cxnSp macro="">
      <xdr:nvCxnSpPr>
        <xdr:cNvPr id="31" name="Straight Connector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CxnSpPr/>
      </xdr:nvCxnSpPr>
      <xdr:spPr>
        <a:xfrm flipH="1">
          <a:off x="6377668" y="8176113"/>
          <a:ext cx="6274" cy="1655048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7327</xdr:colOff>
      <xdr:row>17</xdr:row>
      <xdr:rowOff>10583</xdr:rowOff>
    </xdr:from>
    <xdr:to>
      <xdr:col>0</xdr:col>
      <xdr:colOff>13182</xdr:colOff>
      <xdr:row>23</xdr:row>
      <xdr:rowOff>63336</xdr:rowOff>
    </xdr:to>
    <xdr:cxnSp macro="">
      <xdr:nvCxnSpPr>
        <xdr:cNvPr id="32" name="Straight Connector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CxnSpPr/>
      </xdr:nvCxnSpPr>
      <xdr:spPr>
        <a:xfrm flipH="1">
          <a:off x="7327" y="8192558"/>
          <a:ext cx="5855" cy="1691053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1062404</xdr:colOff>
      <xdr:row>16</xdr:row>
      <xdr:rowOff>197827</xdr:rowOff>
    </xdr:from>
    <xdr:to>
      <xdr:col>2</xdr:col>
      <xdr:colOff>124558</xdr:colOff>
      <xdr:row>18</xdr:row>
      <xdr:rowOff>73269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 txBox="1"/>
      </xdr:nvSpPr>
      <xdr:spPr>
        <a:xfrm>
          <a:off x="1595804" y="8113102"/>
          <a:ext cx="776654" cy="4183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700" b="1">
              <a:latin typeface="Calibri" panose="020F0502020204030204" pitchFamily="34" charset="0"/>
            </a:rPr>
            <a:t>D8D4</a:t>
          </a:r>
        </a:p>
        <a:p>
          <a:pPr algn="ctr"/>
          <a:r>
            <a:rPr lang="en-CA" sz="700" b="1">
              <a:latin typeface="Calibri" panose="020F0502020204030204" pitchFamily="34" charset="0"/>
            </a:rPr>
            <a:t>RECEIVED?</a:t>
          </a:r>
        </a:p>
      </xdr:txBody>
    </xdr:sp>
    <xdr:clientData/>
  </xdr:twoCellAnchor>
  <xdr:twoCellAnchor>
    <xdr:from>
      <xdr:col>2</xdr:col>
      <xdr:colOff>1713035</xdr:colOff>
      <xdr:row>16</xdr:row>
      <xdr:rowOff>203688</xdr:rowOff>
    </xdr:from>
    <xdr:to>
      <xdr:col>5</xdr:col>
      <xdr:colOff>181708</xdr:colOff>
      <xdr:row>18</xdr:row>
      <xdr:rowOff>79130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 txBox="1"/>
      </xdr:nvSpPr>
      <xdr:spPr>
        <a:xfrm>
          <a:off x="3960935" y="8118963"/>
          <a:ext cx="773723" cy="4183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700" b="1">
              <a:latin typeface="Calibri" panose="020F0502020204030204" pitchFamily="34" charset="0"/>
            </a:rPr>
            <a:t>D8D4</a:t>
          </a:r>
        </a:p>
        <a:p>
          <a:pPr algn="ctr"/>
          <a:r>
            <a:rPr lang="en-CA" sz="700" b="1">
              <a:latin typeface="Calibri" panose="020F0502020204030204" pitchFamily="34" charset="0"/>
            </a:rPr>
            <a:t>RECEIVED?</a:t>
          </a:r>
        </a:p>
      </xdr:txBody>
    </xdr:sp>
    <xdr:clientData/>
  </xdr:twoCellAnchor>
  <xdr:twoCellAnchor>
    <xdr:from>
      <xdr:col>7</xdr:col>
      <xdr:colOff>400050</xdr:colOff>
      <xdr:row>16</xdr:row>
      <xdr:rowOff>202223</xdr:rowOff>
    </xdr:from>
    <xdr:to>
      <xdr:col>8</xdr:col>
      <xdr:colOff>26377</xdr:colOff>
      <xdr:row>18</xdr:row>
      <xdr:rowOff>77665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 txBox="1"/>
      </xdr:nvSpPr>
      <xdr:spPr>
        <a:xfrm>
          <a:off x="6391275" y="8117498"/>
          <a:ext cx="778852" cy="4183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700" b="1">
              <a:latin typeface="Calibri" panose="020F0502020204030204" pitchFamily="34" charset="0"/>
            </a:rPr>
            <a:t>D8D4</a:t>
          </a:r>
        </a:p>
        <a:p>
          <a:pPr algn="ctr"/>
          <a:r>
            <a:rPr lang="en-CA" sz="700" b="1">
              <a:latin typeface="Calibri" panose="020F0502020204030204" pitchFamily="34" charset="0"/>
            </a:rPr>
            <a:t>RECEIVED?</a:t>
          </a:r>
        </a:p>
      </xdr:txBody>
    </xdr:sp>
    <xdr:clientData/>
  </xdr:twoCellAnchor>
  <xdr:twoCellAnchor>
    <xdr:from>
      <xdr:col>1</xdr:col>
      <xdr:colOff>1333501</xdr:colOff>
      <xdr:row>18</xdr:row>
      <xdr:rowOff>36634</xdr:rowOff>
    </xdr:from>
    <xdr:to>
      <xdr:col>1</xdr:col>
      <xdr:colOff>1553308</xdr:colOff>
      <xdr:row>18</xdr:row>
      <xdr:rowOff>249115</xdr:rowOff>
    </xdr:to>
    <xdr:sp macro="" textlink="">
      <xdr:nvSpPr>
        <xdr:cNvPr id="36" name="Rectangle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/>
      </xdr:nvSpPr>
      <xdr:spPr>
        <a:xfrm>
          <a:off x="1866901" y="8494834"/>
          <a:ext cx="219807" cy="212481"/>
        </a:xfrm>
        <a:prstGeom prst="rect">
          <a:avLst/>
        </a:prstGeom>
        <a:noFill/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</xdr:col>
      <xdr:colOff>1332034</xdr:colOff>
      <xdr:row>19</xdr:row>
      <xdr:rowOff>42497</xdr:rowOff>
    </xdr:from>
    <xdr:to>
      <xdr:col>1</xdr:col>
      <xdr:colOff>1551841</xdr:colOff>
      <xdr:row>19</xdr:row>
      <xdr:rowOff>254978</xdr:rowOff>
    </xdr:to>
    <xdr:sp macro="" textlink="">
      <xdr:nvSpPr>
        <xdr:cNvPr id="37" name="Rectangle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/>
      </xdr:nvSpPr>
      <xdr:spPr>
        <a:xfrm>
          <a:off x="1865434" y="8776922"/>
          <a:ext cx="219807" cy="212481"/>
        </a:xfrm>
        <a:prstGeom prst="rect">
          <a:avLst/>
        </a:prstGeom>
        <a:noFill/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</xdr:col>
      <xdr:colOff>1330567</xdr:colOff>
      <xdr:row>20</xdr:row>
      <xdr:rowOff>33706</xdr:rowOff>
    </xdr:from>
    <xdr:to>
      <xdr:col>1</xdr:col>
      <xdr:colOff>1550374</xdr:colOff>
      <xdr:row>20</xdr:row>
      <xdr:rowOff>246187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/>
      </xdr:nvSpPr>
      <xdr:spPr>
        <a:xfrm>
          <a:off x="1863967" y="9044356"/>
          <a:ext cx="219807" cy="212481"/>
        </a:xfrm>
        <a:prstGeom prst="rect">
          <a:avLst/>
        </a:prstGeom>
        <a:noFill/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</xdr:col>
      <xdr:colOff>1336427</xdr:colOff>
      <xdr:row>21</xdr:row>
      <xdr:rowOff>24915</xdr:rowOff>
    </xdr:from>
    <xdr:to>
      <xdr:col>1</xdr:col>
      <xdr:colOff>1556234</xdr:colOff>
      <xdr:row>21</xdr:row>
      <xdr:rowOff>237396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/>
      </xdr:nvSpPr>
      <xdr:spPr>
        <a:xfrm>
          <a:off x="1869827" y="9311790"/>
          <a:ext cx="219807" cy="212481"/>
        </a:xfrm>
        <a:prstGeom prst="rect">
          <a:avLst/>
        </a:prstGeom>
        <a:noFill/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</xdr:col>
      <xdr:colOff>1334960</xdr:colOff>
      <xdr:row>22</xdr:row>
      <xdr:rowOff>30778</xdr:rowOff>
    </xdr:from>
    <xdr:to>
      <xdr:col>1</xdr:col>
      <xdr:colOff>1554767</xdr:colOff>
      <xdr:row>22</xdr:row>
      <xdr:rowOff>243259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SpPr/>
      </xdr:nvSpPr>
      <xdr:spPr>
        <a:xfrm>
          <a:off x="1868360" y="9584353"/>
          <a:ext cx="219807" cy="212481"/>
        </a:xfrm>
        <a:prstGeom prst="rect">
          <a:avLst/>
        </a:prstGeom>
        <a:noFill/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4</xdr:col>
      <xdr:colOff>218342</xdr:colOff>
      <xdr:row>18</xdr:row>
      <xdr:rowOff>35169</xdr:rowOff>
    </xdr:from>
    <xdr:to>
      <xdr:col>4</xdr:col>
      <xdr:colOff>438149</xdr:colOff>
      <xdr:row>18</xdr:row>
      <xdr:rowOff>247650</xdr:rowOff>
    </xdr:to>
    <xdr:sp macro="" textlink="">
      <xdr:nvSpPr>
        <xdr:cNvPr id="41" name="Rectangle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/>
      </xdr:nvSpPr>
      <xdr:spPr>
        <a:xfrm>
          <a:off x="4237892" y="8493369"/>
          <a:ext cx="219807" cy="212481"/>
        </a:xfrm>
        <a:prstGeom prst="rect">
          <a:avLst/>
        </a:prstGeom>
        <a:noFill/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4</xdr:col>
      <xdr:colOff>216875</xdr:colOff>
      <xdr:row>19</xdr:row>
      <xdr:rowOff>41032</xdr:rowOff>
    </xdr:from>
    <xdr:to>
      <xdr:col>4</xdr:col>
      <xdr:colOff>436682</xdr:colOff>
      <xdr:row>19</xdr:row>
      <xdr:rowOff>253513</xdr:rowOff>
    </xdr:to>
    <xdr:sp macro="" textlink="">
      <xdr:nvSpPr>
        <xdr:cNvPr id="42" name="Rectangle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/>
      </xdr:nvSpPr>
      <xdr:spPr>
        <a:xfrm>
          <a:off x="4236425" y="8775457"/>
          <a:ext cx="219807" cy="212481"/>
        </a:xfrm>
        <a:prstGeom prst="rect">
          <a:avLst/>
        </a:prstGeom>
        <a:noFill/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4</xdr:col>
      <xdr:colOff>215408</xdr:colOff>
      <xdr:row>20</xdr:row>
      <xdr:rowOff>32241</xdr:rowOff>
    </xdr:from>
    <xdr:to>
      <xdr:col>4</xdr:col>
      <xdr:colOff>435215</xdr:colOff>
      <xdr:row>20</xdr:row>
      <xdr:rowOff>244722</xdr:rowOff>
    </xdr:to>
    <xdr:sp macro="" textlink="">
      <xdr:nvSpPr>
        <xdr:cNvPr id="43" name="Rectangle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/>
      </xdr:nvSpPr>
      <xdr:spPr>
        <a:xfrm>
          <a:off x="4234958" y="9042891"/>
          <a:ext cx="219807" cy="212481"/>
        </a:xfrm>
        <a:prstGeom prst="rect">
          <a:avLst/>
        </a:prstGeom>
        <a:noFill/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4</xdr:col>
      <xdr:colOff>221268</xdr:colOff>
      <xdr:row>21</xdr:row>
      <xdr:rowOff>23450</xdr:rowOff>
    </xdr:from>
    <xdr:to>
      <xdr:col>4</xdr:col>
      <xdr:colOff>441075</xdr:colOff>
      <xdr:row>21</xdr:row>
      <xdr:rowOff>235931</xdr:rowOff>
    </xdr:to>
    <xdr:sp macro="" textlink="">
      <xdr:nvSpPr>
        <xdr:cNvPr id="44" name="Rectangle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/>
      </xdr:nvSpPr>
      <xdr:spPr>
        <a:xfrm>
          <a:off x="4240818" y="9310325"/>
          <a:ext cx="219807" cy="212481"/>
        </a:xfrm>
        <a:prstGeom prst="rect">
          <a:avLst/>
        </a:prstGeom>
        <a:noFill/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4</xdr:col>
      <xdr:colOff>219801</xdr:colOff>
      <xdr:row>22</xdr:row>
      <xdr:rowOff>29313</xdr:rowOff>
    </xdr:from>
    <xdr:to>
      <xdr:col>4</xdr:col>
      <xdr:colOff>439608</xdr:colOff>
      <xdr:row>22</xdr:row>
      <xdr:rowOff>241794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/>
      </xdr:nvSpPr>
      <xdr:spPr>
        <a:xfrm>
          <a:off x="4239351" y="9582888"/>
          <a:ext cx="219807" cy="212481"/>
        </a:xfrm>
        <a:prstGeom prst="rect">
          <a:avLst/>
        </a:prstGeom>
        <a:noFill/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7</xdr:col>
      <xdr:colOff>671146</xdr:colOff>
      <xdr:row>18</xdr:row>
      <xdr:rowOff>33704</xdr:rowOff>
    </xdr:from>
    <xdr:to>
      <xdr:col>7</xdr:col>
      <xdr:colOff>890953</xdr:colOff>
      <xdr:row>18</xdr:row>
      <xdr:rowOff>246185</xdr:rowOff>
    </xdr:to>
    <xdr:sp macro="" textlink="">
      <xdr:nvSpPr>
        <xdr:cNvPr id="46" name="Rectangle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/>
      </xdr:nvSpPr>
      <xdr:spPr>
        <a:xfrm>
          <a:off x="6662371" y="8491904"/>
          <a:ext cx="219807" cy="212481"/>
        </a:xfrm>
        <a:prstGeom prst="rect">
          <a:avLst/>
        </a:prstGeom>
        <a:noFill/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7</xdr:col>
      <xdr:colOff>669679</xdr:colOff>
      <xdr:row>19</xdr:row>
      <xdr:rowOff>39567</xdr:rowOff>
    </xdr:from>
    <xdr:to>
      <xdr:col>7</xdr:col>
      <xdr:colOff>889486</xdr:colOff>
      <xdr:row>19</xdr:row>
      <xdr:rowOff>252048</xdr:rowOff>
    </xdr:to>
    <xdr:sp macro="" textlink="">
      <xdr:nvSpPr>
        <xdr:cNvPr id="47" name="Rectangle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/>
      </xdr:nvSpPr>
      <xdr:spPr>
        <a:xfrm>
          <a:off x="6660904" y="8773992"/>
          <a:ext cx="219807" cy="212481"/>
        </a:xfrm>
        <a:prstGeom prst="rect">
          <a:avLst/>
        </a:prstGeom>
        <a:noFill/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7</xdr:col>
      <xdr:colOff>668212</xdr:colOff>
      <xdr:row>20</xdr:row>
      <xdr:rowOff>30776</xdr:rowOff>
    </xdr:from>
    <xdr:to>
      <xdr:col>7</xdr:col>
      <xdr:colOff>888019</xdr:colOff>
      <xdr:row>20</xdr:row>
      <xdr:rowOff>243257</xdr:rowOff>
    </xdr:to>
    <xdr:sp macro="" textlink="">
      <xdr:nvSpPr>
        <xdr:cNvPr id="48" name="Rectangle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/>
      </xdr:nvSpPr>
      <xdr:spPr>
        <a:xfrm>
          <a:off x="6659437" y="9041426"/>
          <a:ext cx="219807" cy="212481"/>
        </a:xfrm>
        <a:prstGeom prst="rect">
          <a:avLst/>
        </a:prstGeom>
        <a:noFill/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7</xdr:col>
      <xdr:colOff>674072</xdr:colOff>
      <xdr:row>21</xdr:row>
      <xdr:rowOff>21985</xdr:rowOff>
    </xdr:from>
    <xdr:to>
      <xdr:col>7</xdr:col>
      <xdr:colOff>893879</xdr:colOff>
      <xdr:row>21</xdr:row>
      <xdr:rowOff>234466</xdr:rowOff>
    </xdr:to>
    <xdr:sp macro="" textlink="">
      <xdr:nvSpPr>
        <xdr:cNvPr id="49" name="Rectangle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SpPr/>
      </xdr:nvSpPr>
      <xdr:spPr>
        <a:xfrm>
          <a:off x="6665297" y="9308860"/>
          <a:ext cx="219807" cy="212481"/>
        </a:xfrm>
        <a:prstGeom prst="rect">
          <a:avLst/>
        </a:prstGeom>
        <a:noFill/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7</xdr:col>
      <xdr:colOff>672605</xdr:colOff>
      <xdr:row>22</xdr:row>
      <xdr:rowOff>27848</xdr:rowOff>
    </xdr:from>
    <xdr:to>
      <xdr:col>7</xdr:col>
      <xdr:colOff>892412</xdr:colOff>
      <xdr:row>22</xdr:row>
      <xdr:rowOff>240329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SpPr/>
      </xdr:nvSpPr>
      <xdr:spPr>
        <a:xfrm>
          <a:off x="6663830" y="9581423"/>
          <a:ext cx="219807" cy="212481"/>
        </a:xfrm>
        <a:prstGeom prst="rect">
          <a:avLst/>
        </a:prstGeom>
        <a:noFill/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361950</xdr:colOff>
          <xdr:row>8</xdr:row>
          <xdr:rowOff>209550</xdr:rowOff>
        </xdr:from>
        <xdr:to>
          <xdr:col>21</xdr:col>
          <xdr:colOff>374650</xdr:colOff>
          <xdr:row>9</xdr:row>
          <xdr:rowOff>241300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2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PULL BW SKIDS TO 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127000</xdr:colOff>
          <xdr:row>0</xdr:row>
          <xdr:rowOff>0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2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13</xdr:col>
          <xdr:colOff>12700</xdr:colOff>
          <xdr:row>2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2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Font 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381000</xdr:colOff>
          <xdr:row>10</xdr:row>
          <xdr:rowOff>127000</xdr:rowOff>
        </xdr:from>
        <xdr:to>
          <xdr:col>22</xdr:col>
          <xdr:colOff>146050</xdr:colOff>
          <xdr:row>11</xdr:row>
          <xdr:rowOff>374650</xdr:rowOff>
        </xdr:to>
        <xdr:sp macro="" textlink="">
          <xdr:nvSpPr>
            <xdr:cNvPr id="16405" name="Button 21" hidden="1">
              <a:extLst>
                <a:ext uri="{63B3BB69-23CF-44E3-9099-C40C66FF867C}">
                  <a14:compatExt spid="_x0000_s16405"/>
                </a:ext>
                <a:ext uri="{FF2B5EF4-FFF2-40B4-BE49-F238E27FC236}">
                  <a16:creationId xmlns:a16="http://schemas.microsoft.com/office/drawing/2014/main" id="{00000000-0008-0000-0200-00001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Mail and Reset Sheets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2</xdr:row>
      <xdr:rowOff>35718</xdr:rowOff>
    </xdr:from>
    <xdr:to>
      <xdr:col>0</xdr:col>
      <xdr:colOff>578644</xdr:colOff>
      <xdr:row>7</xdr:row>
      <xdr:rowOff>523874</xdr:rowOff>
    </xdr:to>
    <xdr:sp macro="" textlink="">
      <xdr:nvSpPr>
        <xdr:cNvPr id="55" name="WordArt 2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SpPr>
          <a:spLocks noChangeArrowheads="1" noChangeShapeType="1" noTextEdit="1"/>
        </xdr:cNvSpPr>
      </xdr:nvSpPr>
      <xdr:spPr bwMode="auto">
        <a:xfrm rot="5400000">
          <a:off x="-1121568" y="1728786"/>
          <a:ext cx="2774156" cy="531019"/>
        </a:xfrm>
        <a:prstGeom prst="rect">
          <a:avLst/>
        </a:prstGeom>
      </xdr:spPr>
      <xdr:txBody>
        <a:bodyPr vert="wordArtVert"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 fontAlgn="auto"/>
          <a:r>
            <a:rPr lang="en-US" sz="3600" kern="10" spc="0">
              <a:ln w="12700">
                <a:solidFill>
                  <a:srgbClr val="000000"/>
                </a:solidFill>
                <a:round/>
                <a:headEnd/>
                <a:tailEnd/>
              </a:ln>
              <a:solidFill>
                <a:srgbClr val="C0C0C0"/>
              </a:solidFill>
              <a:effectLst>
                <a:outerShdw dist="53882" dir="2700000" algn="ctr" rotWithShape="0">
                  <a:srgbClr val="CBCBCB">
                    <a:alpha val="80000"/>
                  </a:srgbClr>
                </a:outerShdw>
              </a:effectLst>
              <a:latin typeface="Calibri"/>
            </a:rPr>
            <a:t>Crossways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152400</xdr:colOff>
      <xdr:row>7</xdr:row>
      <xdr:rowOff>371475</xdr:rowOff>
    </xdr:from>
    <xdr:to>
      <xdr:col>4</xdr:col>
      <xdr:colOff>495300</xdr:colOff>
      <xdr:row>16</xdr:row>
      <xdr:rowOff>0</xdr:rowOff>
    </xdr:to>
    <xdr:sp macro="" textlink="">
      <xdr:nvSpPr>
        <xdr:cNvPr id="2" name="AutoShap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 noChangeArrowheads="1"/>
        </xdr:cNvSpPr>
      </xdr:nvSpPr>
      <xdr:spPr bwMode="auto">
        <a:xfrm rot="5400000">
          <a:off x="2000250" y="5400675"/>
          <a:ext cx="4686300" cy="342900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43208067 h 21600"/>
            <a:gd name="T4" fmla="*/ 2147483647 w 21600"/>
            <a:gd name="T5" fmla="*/ 86416134 h 21600"/>
            <a:gd name="T6" fmla="*/ 2147483647 w 21600"/>
            <a:gd name="T7" fmla="*/ 4320806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28575</xdr:colOff>
      <xdr:row>3</xdr:row>
      <xdr:rowOff>19050</xdr:rowOff>
    </xdr:from>
    <xdr:to>
      <xdr:col>5</xdr:col>
      <xdr:colOff>0</xdr:colOff>
      <xdr:row>7</xdr:row>
      <xdr:rowOff>285750</xdr:rowOff>
    </xdr:to>
    <xdr:sp macro="" textlink="">
      <xdr:nvSpPr>
        <xdr:cNvPr id="3" name="Word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>
          <a:spLocks noChangeArrowheads="1" noChangeShapeType="1" noTextEdit="1"/>
        </xdr:cNvSpPr>
      </xdr:nvSpPr>
      <xdr:spPr bwMode="auto">
        <a:xfrm rot="5400000">
          <a:off x="3043238" y="1633537"/>
          <a:ext cx="2514600" cy="504825"/>
        </a:xfrm>
        <a:prstGeom prst="rect">
          <a:avLst/>
        </a:prstGeom>
      </xdr:spPr>
      <xdr:txBody>
        <a:bodyPr vert="wordArtVert"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 fontAlgn="auto"/>
          <a:r>
            <a:rPr lang="en-US" sz="3600" kern="10" spc="0">
              <a:ln w="12700">
                <a:solidFill>
                  <a:srgbClr val="000000"/>
                </a:solidFill>
                <a:round/>
                <a:headEnd/>
                <a:tailEnd/>
              </a:ln>
              <a:solidFill>
                <a:srgbClr val="C0C0C0"/>
              </a:solidFill>
              <a:effectLst>
                <a:outerShdw dist="53882" dir="2700000" algn="ctr" rotWithShape="0">
                  <a:srgbClr val="CBCBCB">
                    <a:alpha val="80000"/>
                  </a:srgbClr>
                </a:outerShdw>
              </a:effectLst>
              <a:latin typeface="Calibri"/>
            </a:rPr>
            <a:t>Crossways</a:t>
          </a:r>
        </a:p>
      </xdr:txBody>
    </xdr:sp>
    <xdr:clientData/>
  </xdr:twoCellAnchor>
  <xdr:twoCellAnchor>
    <xdr:from>
      <xdr:col>0</xdr:col>
      <xdr:colOff>107157</xdr:colOff>
      <xdr:row>8</xdr:row>
      <xdr:rowOff>107156</xdr:rowOff>
    </xdr:from>
    <xdr:to>
      <xdr:col>0</xdr:col>
      <xdr:colOff>450057</xdr:colOff>
      <xdr:row>16</xdr:row>
      <xdr:rowOff>0</xdr:rowOff>
    </xdr:to>
    <xdr:sp macro="" textlink="">
      <xdr:nvSpPr>
        <xdr:cNvPr id="4" name="AutoShape 1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>
          <a:spLocks noChangeArrowheads="1"/>
        </xdr:cNvSpPr>
      </xdr:nvSpPr>
      <xdr:spPr bwMode="auto">
        <a:xfrm rot="5400000">
          <a:off x="-1915715" y="5549503"/>
          <a:ext cx="4388644" cy="342900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43208067 h 21600"/>
            <a:gd name="T4" fmla="*/ 2147483647 w 21600"/>
            <a:gd name="T5" fmla="*/ 86416134 h 21600"/>
            <a:gd name="T6" fmla="*/ 2147483647 w 21600"/>
            <a:gd name="T7" fmla="*/ 4320806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2</xdr:row>
      <xdr:rowOff>35718</xdr:rowOff>
    </xdr:from>
    <xdr:to>
      <xdr:col>0</xdr:col>
      <xdr:colOff>578644</xdr:colOff>
      <xdr:row>7</xdr:row>
      <xdr:rowOff>523874</xdr:rowOff>
    </xdr:to>
    <xdr:sp macro="" textlink="">
      <xdr:nvSpPr>
        <xdr:cNvPr id="5" name="WordArt 2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>
          <a:spLocks noChangeArrowheads="1" noChangeShapeType="1" noTextEdit="1"/>
        </xdr:cNvSpPr>
      </xdr:nvSpPr>
      <xdr:spPr bwMode="auto">
        <a:xfrm rot="5400000">
          <a:off x="-1121568" y="1728786"/>
          <a:ext cx="2774156" cy="531019"/>
        </a:xfrm>
        <a:prstGeom prst="rect">
          <a:avLst/>
        </a:prstGeom>
      </xdr:spPr>
      <xdr:txBody>
        <a:bodyPr vert="wordArtVert"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 fontAlgn="auto"/>
          <a:r>
            <a:rPr lang="en-US" sz="3600" kern="10" spc="0">
              <a:ln w="12700">
                <a:solidFill>
                  <a:srgbClr val="000000"/>
                </a:solidFill>
                <a:round/>
                <a:headEnd/>
                <a:tailEnd/>
              </a:ln>
              <a:solidFill>
                <a:srgbClr val="C0C0C0"/>
              </a:solidFill>
              <a:effectLst>
                <a:outerShdw dist="53882" dir="2700000" algn="ctr" rotWithShape="0">
                  <a:srgbClr val="CBCBCB">
                    <a:alpha val="80000"/>
                  </a:srgbClr>
                </a:outerShdw>
              </a:effectLst>
              <a:latin typeface="Calibri"/>
            </a:rPr>
            <a:t>Crossways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25</xdr:row>
          <xdr:rowOff>0</xdr:rowOff>
        </xdr:from>
        <xdr:to>
          <xdr:col>7</xdr:col>
          <xdr:colOff>1060450</xdr:colOff>
          <xdr:row>85</xdr:row>
          <xdr:rowOff>152400</xdr:rowOff>
        </xdr:to>
        <xdr:sp macro="" textlink="">
          <xdr:nvSpPr>
            <xdr:cNvPr id="17409" name="Object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3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127000</xdr:colOff>
          <xdr:row>0</xdr:row>
          <xdr:rowOff>0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3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13</xdr:col>
          <xdr:colOff>12700</xdr:colOff>
          <xdr:row>2</xdr:row>
          <xdr:rowOff>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3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Font 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12700</xdr:colOff>
          <xdr:row>0</xdr:row>
          <xdr:rowOff>0</xdr:rowOff>
        </xdr:from>
        <xdr:to>
          <xdr:col>18</xdr:col>
          <xdr:colOff>165100</xdr:colOff>
          <xdr:row>2</xdr:row>
          <xdr:rowOff>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3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B/W 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190500</xdr:colOff>
          <xdr:row>0</xdr:row>
          <xdr:rowOff>0</xdr:rowOff>
        </xdr:from>
        <xdr:to>
          <xdr:col>20</xdr:col>
          <xdr:colOff>355600</xdr:colOff>
          <xdr:row>2</xdr:row>
          <xdr:rowOff>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3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B/W's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7327</xdr:colOff>
      <xdr:row>17</xdr:row>
      <xdr:rowOff>10583</xdr:rowOff>
    </xdr:from>
    <xdr:to>
      <xdr:col>2</xdr:col>
      <xdr:colOff>113161</xdr:colOff>
      <xdr:row>18</xdr:row>
      <xdr:rowOff>10585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7327" y="8192558"/>
          <a:ext cx="2353734" cy="276227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400" b="1">
              <a:solidFill>
                <a:sysClr val="windowText" lastClr="000000"/>
              </a:solidFill>
              <a:latin typeface="Calibri" panose="020F0502020204030204" pitchFamily="34" charset="0"/>
            </a:rPr>
            <a:t>            STORE</a:t>
          </a:r>
        </a:p>
      </xdr:txBody>
    </xdr:sp>
    <xdr:clientData/>
  </xdr:twoCellAnchor>
  <xdr:twoCellAnchor>
    <xdr:from>
      <xdr:col>0</xdr:col>
      <xdr:colOff>14821</xdr:colOff>
      <xdr:row>18</xdr:row>
      <xdr:rowOff>7484</xdr:rowOff>
    </xdr:from>
    <xdr:to>
      <xdr:col>2</xdr:col>
      <xdr:colOff>120655</xdr:colOff>
      <xdr:row>19</xdr:row>
      <xdr:rowOff>7485</xdr:rowOff>
    </xdr:to>
    <xdr:sp macro="" textlink="J6">
      <xdr:nvSpPr>
        <xdr:cNvPr id="12" name="Rectangle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14821" y="8465684"/>
          <a:ext cx="2353734" cy="276226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86E399B3-A2BD-47C7-A344-C6B594F10068}" type="TxLink">
            <a:rPr lang="en-US" sz="1600" b="0" i="0" u="none" strike="noStrike">
              <a:solidFill>
                <a:srgbClr val="000000"/>
              </a:solidFill>
              <a:latin typeface="Calibri"/>
              <a:cs typeface="Arial"/>
            </a:rPr>
            <a:pPr algn="l"/>
            <a:t> </a:t>
          </a:fld>
          <a:endParaRPr lang="en-US"/>
        </a:p>
      </xdr:txBody>
    </xdr:sp>
    <xdr:clientData/>
  </xdr:twoCellAnchor>
  <xdr:twoCellAnchor>
    <xdr:from>
      <xdr:col>0</xdr:col>
      <xdr:colOff>7327</xdr:colOff>
      <xdr:row>19</xdr:row>
      <xdr:rowOff>7327</xdr:rowOff>
    </xdr:from>
    <xdr:to>
      <xdr:col>2</xdr:col>
      <xdr:colOff>113161</xdr:colOff>
      <xdr:row>20</xdr:row>
      <xdr:rowOff>7329</xdr:rowOff>
    </xdr:to>
    <xdr:sp macro="" textlink="J7">
      <xdr:nvSpPr>
        <xdr:cNvPr id="13" name="Rectangl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7327" y="8741752"/>
          <a:ext cx="2353734" cy="276227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6E4648E1-60F2-4D7F-B397-1A858E61BC9C}" type="TxLink">
            <a:rPr lang="en-US" sz="1600" b="0" i="0" u="none" strike="noStrike">
              <a:solidFill>
                <a:srgbClr val="000000"/>
              </a:solidFill>
              <a:latin typeface="Calibri"/>
              <a:cs typeface="Arial"/>
            </a:rPr>
            <a:pPr algn="l"/>
            <a:t> </a:t>
          </a:fld>
          <a:endParaRPr lang="en-CA" sz="1100"/>
        </a:p>
      </xdr:txBody>
    </xdr:sp>
    <xdr:clientData/>
  </xdr:twoCellAnchor>
  <xdr:twoCellAnchor>
    <xdr:from>
      <xdr:col>0</xdr:col>
      <xdr:colOff>7327</xdr:colOff>
      <xdr:row>20</xdr:row>
      <xdr:rowOff>0</xdr:rowOff>
    </xdr:from>
    <xdr:to>
      <xdr:col>2</xdr:col>
      <xdr:colOff>113161</xdr:colOff>
      <xdr:row>21</xdr:row>
      <xdr:rowOff>2</xdr:rowOff>
    </xdr:to>
    <xdr:sp macro="" textlink="J8">
      <xdr:nvSpPr>
        <xdr:cNvPr id="14" name="Rectangle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7327" y="9010650"/>
          <a:ext cx="2353734" cy="276227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5669564C-86EA-4D49-8C06-AD81305335DA}" type="TxLink">
            <a:rPr lang="en-US" sz="1600" b="0" i="0" u="none" strike="noStrike">
              <a:solidFill>
                <a:srgbClr val="000000"/>
              </a:solidFill>
              <a:latin typeface="Calibri"/>
              <a:cs typeface="Arial"/>
            </a:rPr>
            <a:pPr algn="l"/>
            <a:t> </a:t>
          </a:fld>
          <a:endParaRPr lang="en-CA" sz="1100"/>
        </a:p>
      </xdr:txBody>
    </xdr:sp>
    <xdr:clientData/>
  </xdr:twoCellAnchor>
  <xdr:twoCellAnchor>
    <xdr:from>
      <xdr:col>0</xdr:col>
      <xdr:colOff>7327</xdr:colOff>
      <xdr:row>20</xdr:row>
      <xdr:rowOff>263769</xdr:rowOff>
    </xdr:from>
    <xdr:to>
      <xdr:col>2</xdr:col>
      <xdr:colOff>113161</xdr:colOff>
      <xdr:row>22</xdr:row>
      <xdr:rowOff>2</xdr:rowOff>
    </xdr:to>
    <xdr:sp macro="" textlink="J9">
      <xdr:nvSpPr>
        <xdr:cNvPr id="15" name="Rectangle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7327" y="9274419"/>
          <a:ext cx="2353734" cy="279158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8ADC0B1A-BE06-4E51-91A7-C56418AEB95A}" type="TxLink">
            <a:rPr lang="en-US" sz="1600" b="0" i="0" u="none" strike="noStrike">
              <a:solidFill>
                <a:srgbClr val="000000"/>
              </a:solidFill>
              <a:latin typeface="Calibri"/>
              <a:cs typeface="Arial"/>
            </a:rPr>
            <a:pPr algn="l"/>
            <a:t> </a:t>
          </a:fld>
          <a:endParaRPr lang="en-CA" sz="1100"/>
        </a:p>
      </xdr:txBody>
    </xdr:sp>
    <xdr:clientData/>
  </xdr:twoCellAnchor>
  <xdr:twoCellAnchor>
    <xdr:from>
      <xdr:col>0</xdr:col>
      <xdr:colOff>7327</xdr:colOff>
      <xdr:row>21</xdr:row>
      <xdr:rowOff>256442</xdr:rowOff>
    </xdr:from>
    <xdr:to>
      <xdr:col>2</xdr:col>
      <xdr:colOff>113161</xdr:colOff>
      <xdr:row>23</xdr:row>
      <xdr:rowOff>7328</xdr:rowOff>
    </xdr:to>
    <xdr:sp macro="" textlink="J10">
      <xdr:nvSpPr>
        <xdr:cNvPr id="16" name="Rectangle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7327" y="9543317"/>
          <a:ext cx="2353734" cy="284286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C923BA89-8BA6-4C88-AE5E-72875293C08B}" type="TxLink">
            <a:rPr lang="en-US" sz="1600" b="0" i="0" u="none" strike="noStrike">
              <a:solidFill>
                <a:srgbClr val="000000"/>
              </a:solidFill>
              <a:latin typeface="Calibri"/>
              <a:cs typeface="Arial"/>
            </a:rPr>
            <a:pPr algn="l"/>
            <a:t> </a:t>
          </a:fld>
          <a:endParaRPr lang="en-CA" sz="1100"/>
        </a:p>
      </xdr:txBody>
    </xdr:sp>
    <xdr:clientData/>
  </xdr:twoCellAnchor>
  <xdr:twoCellAnchor>
    <xdr:from>
      <xdr:col>2</xdr:col>
      <xdr:colOff>115766</xdr:colOff>
      <xdr:row>17</xdr:row>
      <xdr:rowOff>9117</xdr:rowOff>
    </xdr:from>
    <xdr:to>
      <xdr:col>5</xdr:col>
      <xdr:colOff>162984</xdr:colOff>
      <xdr:row>18</xdr:row>
      <xdr:rowOff>9119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2360945" y="8146188"/>
          <a:ext cx="2346825" cy="272145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400" b="1">
              <a:solidFill>
                <a:sysClr val="windowText" lastClr="000000"/>
              </a:solidFill>
              <a:latin typeface="Calibri" panose="020F0502020204030204" pitchFamily="34" charset="0"/>
            </a:rPr>
            <a:t>            STORE</a:t>
          </a:r>
        </a:p>
      </xdr:txBody>
    </xdr:sp>
    <xdr:clientData/>
  </xdr:twoCellAnchor>
  <xdr:twoCellAnchor>
    <xdr:from>
      <xdr:col>2</xdr:col>
      <xdr:colOff>120004</xdr:colOff>
      <xdr:row>18</xdr:row>
      <xdr:rowOff>6020</xdr:rowOff>
    </xdr:from>
    <xdr:to>
      <xdr:col>5</xdr:col>
      <xdr:colOff>161192</xdr:colOff>
      <xdr:row>19</xdr:row>
      <xdr:rowOff>6021</xdr:rowOff>
    </xdr:to>
    <xdr:sp macro="" textlink="J11">
      <xdr:nvSpPr>
        <xdr:cNvPr id="18" name="Rectangle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/>
      </xdr:nvSpPr>
      <xdr:spPr>
        <a:xfrm>
          <a:off x="2367904" y="8464220"/>
          <a:ext cx="2346238" cy="276226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3452266-DEA2-4EE8-A3A3-D66B11143D1C}" type="TxLink">
            <a:rPr lang="en-US" sz="1600" b="0" i="0" u="none" strike="noStrike">
              <a:solidFill>
                <a:srgbClr val="000000"/>
              </a:solidFill>
              <a:latin typeface="Calibri"/>
              <a:cs typeface="Arial"/>
            </a:rPr>
            <a:pPr algn="l"/>
            <a:t> </a:t>
          </a:fld>
          <a:endParaRPr lang="en-CA" sz="1100"/>
        </a:p>
      </xdr:txBody>
    </xdr:sp>
    <xdr:clientData/>
  </xdr:twoCellAnchor>
  <xdr:twoCellAnchor>
    <xdr:from>
      <xdr:col>2</xdr:col>
      <xdr:colOff>115766</xdr:colOff>
      <xdr:row>19</xdr:row>
      <xdr:rowOff>5861</xdr:rowOff>
    </xdr:from>
    <xdr:to>
      <xdr:col>5</xdr:col>
      <xdr:colOff>162984</xdr:colOff>
      <xdr:row>20</xdr:row>
      <xdr:rowOff>5863</xdr:rowOff>
    </xdr:to>
    <xdr:sp macro="" textlink="J12">
      <xdr:nvSpPr>
        <xdr:cNvPr id="19" name="Rectangle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2363666" y="8740286"/>
          <a:ext cx="2352268" cy="276227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E57883A2-4848-40AD-8D04-8C5FE671C9EC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 </a:t>
          </a:fld>
          <a:endParaRPr lang="en-CA" sz="1100"/>
        </a:p>
      </xdr:txBody>
    </xdr:sp>
    <xdr:clientData/>
  </xdr:twoCellAnchor>
  <xdr:twoCellAnchor>
    <xdr:from>
      <xdr:col>2</xdr:col>
      <xdr:colOff>115766</xdr:colOff>
      <xdr:row>19</xdr:row>
      <xdr:rowOff>276957</xdr:rowOff>
    </xdr:from>
    <xdr:to>
      <xdr:col>5</xdr:col>
      <xdr:colOff>162984</xdr:colOff>
      <xdr:row>20</xdr:row>
      <xdr:rowOff>276959</xdr:rowOff>
    </xdr:to>
    <xdr:sp macro="" textlink="J13">
      <xdr:nvSpPr>
        <xdr:cNvPr id="20" name="Rectangle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2363666" y="9011382"/>
          <a:ext cx="2352268" cy="276227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E201FD35-CCA9-44B3-AA09-51F81E5ADC9C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 </a:t>
          </a:fld>
          <a:endParaRPr lang="en-CA" sz="1100"/>
        </a:p>
      </xdr:txBody>
    </xdr:sp>
    <xdr:clientData/>
  </xdr:twoCellAnchor>
  <xdr:twoCellAnchor>
    <xdr:from>
      <xdr:col>2</xdr:col>
      <xdr:colOff>115766</xdr:colOff>
      <xdr:row>20</xdr:row>
      <xdr:rowOff>262303</xdr:rowOff>
    </xdr:from>
    <xdr:to>
      <xdr:col>5</xdr:col>
      <xdr:colOff>162984</xdr:colOff>
      <xdr:row>21</xdr:row>
      <xdr:rowOff>262305</xdr:rowOff>
    </xdr:to>
    <xdr:sp macro="" textlink="J14">
      <xdr:nvSpPr>
        <xdr:cNvPr id="21" name="Rectangle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/>
      </xdr:nvSpPr>
      <xdr:spPr>
        <a:xfrm>
          <a:off x="2363666" y="9272953"/>
          <a:ext cx="2352268" cy="276227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2DCDF922-F750-4097-8FC0-D9BB88C7DEA3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 </a:t>
          </a:fld>
          <a:endParaRPr lang="en-CA" sz="1100"/>
        </a:p>
      </xdr:txBody>
    </xdr:sp>
    <xdr:clientData/>
  </xdr:twoCellAnchor>
  <xdr:twoCellAnchor>
    <xdr:from>
      <xdr:col>2</xdr:col>
      <xdr:colOff>115766</xdr:colOff>
      <xdr:row>21</xdr:row>
      <xdr:rowOff>254976</xdr:rowOff>
    </xdr:from>
    <xdr:to>
      <xdr:col>5</xdr:col>
      <xdr:colOff>162984</xdr:colOff>
      <xdr:row>23</xdr:row>
      <xdr:rowOff>5862</xdr:rowOff>
    </xdr:to>
    <xdr:sp macro="" textlink="J15">
      <xdr:nvSpPr>
        <xdr:cNvPr id="22" name="Rectangle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2363666" y="9541851"/>
          <a:ext cx="2352268" cy="284286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93CA0F84-4426-4C40-B047-69D6290DAA7B}" type="TxLink">
            <a:rPr lang="en-US" sz="1600" b="0" i="0" u="none" strike="noStrike">
              <a:solidFill>
                <a:srgbClr val="000000"/>
              </a:solidFill>
              <a:latin typeface="Calibri"/>
            </a:rPr>
            <a:pPr algn="l"/>
            <a:t> </a:t>
          </a:fld>
          <a:endParaRPr lang="en-CA" sz="1100"/>
        </a:p>
      </xdr:txBody>
    </xdr:sp>
    <xdr:clientData/>
  </xdr:twoCellAnchor>
  <xdr:twoCellAnchor>
    <xdr:from>
      <xdr:col>5</xdr:col>
      <xdr:colOff>171608</xdr:colOff>
      <xdr:row>17</xdr:row>
      <xdr:rowOff>7327</xdr:rowOff>
    </xdr:from>
    <xdr:to>
      <xdr:col>8</xdr:col>
      <xdr:colOff>7327</xdr:colOff>
      <xdr:row>18</xdr:row>
      <xdr:rowOff>7329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>
        <a:xfrm>
          <a:off x="4724558" y="8189302"/>
          <a:ext cx="2426519" cy="276227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400" b="1" baseline="0">
              <a:solidFill>
                <a:sysClr val="windowText" lastClr="000000"/>
              </a:solidFill>
              <a:latin typeface="Calibri" panose="020F0502020204030204" pitchFamily="34" charset="0"/>
            </a:rPr>
            <a:t>            </a:t>
          </a:r>
          <a:r>
            <a:rPr lang="en-CA" sz="1400" b="1">
              <a:solidFill>
                <a:sysClr val="windowText" lastClr="000000"/>
              </a:solidFill>
              <a:latin typeface="Calibri" panose="020F0502020204030204" pitchFamily="34" charset="0"/>
            </a:rPr>
            <a:t>STORE</a:t>
          </a:r>
        </a:p>
      </xdr:txBody>
    </xdr:sp>
    <xdr:clientData/>
  </xdr:twoCellAnchor>
  <xdr:twoCellAnchor>
    <xdr:from>
      <xdr:col>5</xdr:col>
      <xdr:colOff>168519</xdr:colOff>
      <xdr:row>18</xdr:row>
      <xdr:rowOff>4230</xdr:rowOff>
    </xdr:from>
    <xdr:to>
      <xdr:col>8</xdr:col>
      <xdr:colOff>7327</xdr:colOff>
      <xdr:row>19</xdr:row>
      <xdr:rowOff>4231</xdr:rowOff>
    </xdr:to>
    <xdr:sp macro="" textlink="J16">
      <xdr:nvSpPr>
        <xdr:cNvPr id="24" name="Rectangle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4721469" y="8462430"/>
          <a:ext cx="2429608" cy="276226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8CD77D6F-4E50-45D7-80A0-FA4C3265735D}" type="TxLink">
            <a:rPr lang="en-US" sz="1600" b="0" i="0" u="none" strike="noStrike">
              <a:solidFill>
                <a:srgbClr val="000000"/>
              </a:solidFill>
              <a:latin typeface="Calibri"/>
            </a:rPr>
            <a:pPr algn="l"/>
            <a:t> </a:t>
          </a:fld>
          <a:endParaRPr lang="en-CA" sz="1100"/>
        </a:p>
      </xdr:txBody>
    </xdr:sp>
    <xdr:clientData/>
  </xdr:twoCellAnchor>
  <xdr:twoCellAnchor>
    <xdr:from>
      <xdr:col>5</xdr:col>
      <xdr:colOff>171608</xdr:colOff>
      <xdr:row>19</xdr:row>
      <xdr:rowOff>4071</xdr:rowOff>
    </xdr:from>
    <xdr:to>
      <xdr:col>8</xdr:col>
      <xdr:colOff>7327</xdr:colOff>
      <xdr:row>20</xdr:row>
      <xdr:rowOff>4073</xdr:rowOff>
    </xdr:to>
    <xdr:sp macro="" textlink="J17">
      <xdr:nvSpPr>
        <xdr:cNvPr id="25" name="Rectangle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/>
      </xdr:nvSpPr>
      <xdr:spPr>
        <a:xfrm>
          <a:off x="4724558" y="8738496"/>
          <a:ext cx="2426519" cy="276227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44E87761-F326-47D3-BE9E-47E766D20D0F}" type="TxLink">
            <a:rPr lang="en-US" sz="1600" b="0" i="0" u="none" strike="noStrike">
              <a:solidFill>
                <a:srgbClr val="000000"/>
              </a:solidFill>
              <a:latin typeface="Calibri"/>
            </a:rPr>
            <a:pPr algn="l"/>
            <a:t> </a:t>
          </a:fld>
          <a:endParaRPr lang="en-CA" sz="1100"/>
        </a:p>
      </xdr:txBody>
    </xdr:sp>
    <xdr:clientData/>
  </xdr:twoCellAnchor>
  <xdr:twoCellAnchor>
    <xdr:from>
      <xdr:col>5</xdr:col>
      <xdr:colOff>171608</xdr:colOff>
      <xdr:row>19</xdr:row>
      <xdr:rowOff>275167</xdr:rowOff>
    </xdr:from>
    <xdr:to>
      <xdr:col>8</xdr:col>
      <xdr:colOff>8004</xdr:colOff>
      <xdr:row>20</xdr:row>
      <xdr:rowOff>275169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SpPr/>
      </xdr:nvSpPr>
      <xdr:spPr>
        <a:xfrm>
          <a:off x="4724558" y="9009592"/>
          <a:ext cx="2427196" cy="276227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5</xdr:col>
      <xdr:colOff>171608</xdr:colOff>
      <xdr:row>20</xdr:row>
      <xdr:rowOff>260513</xdr:rowOff>
    </xdr:from>
    <xdr:to>
      <xdr:col>8</xdr:col>
      <xdr:colOff>8004</xdr:colOff>
      <xdr:row>21</xdr:row>
      <xdr:rowOff>260515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/>
      </xdr:nvSpPr>
      <xdr:spPr>
        <a:xfrm>
          <a:off x="4724558" y="9271163"/>
          <a:ext cx="2427196" cy="276227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5</xdr:col>
      <xdr:colOff>171607</xdr:colOff>
      <xdr:row>21</xdr:row>
      <xdr:rowOff>253186</xdr:rowOff>
    </xdr:from>
    <xdr:to>
      <xdr:col>8</xdr:col>
      <xdr:colOff>8003</xdr:colOff>
      <xdr:row>23</xdr:row>
      <xdr:rowOff>4072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SpPr/>
      </xdr:nvSpPr>
      <xdr:spPr>
        <a:xfrm>
          <a:off x="4724557" y="9540061"/>
          <a:ext cx="2427196" cy="284286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</xdr:col>
      <xdr:colOff>1028700</xdr:colOff>
      <xdr:row>17</xdr:row>
      <xdr:rowOff>7327</xdr:rowOff>
    </xdr:from>
    <xdr:to>
      <xdr:col>1</xdr:col>
      <xdr:colOff>1040417</xdr:colOff>
      <xdr:row>23</xdr:row>
      <xdr:rowOff>0</xdr:rowOff>
    </xdr:to>
    <xdr:cxnSp macro="">
      <xdr:nvCxnSpPr>
        <xdr:cNvPr id="29" name="Straight Connector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CxnSpPr/>
      </xdr:nvCxnSpPr>
      <xdr:spPr>
        <a:xfrm flipH="1">
          <a:off x="1562100" y="8189302"/>
          <a:ext cx="11717" cy="1630973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1703614</xdr:colOff>
      <xdr:row>16</xdr:row>
      <xdr:rowOff>262095</xdr:rowOff>
    </xdr:from>
    <xdr:to>
      <xdr:col>2</xdr:col>
      <xdr:colOff>1713029</xdr:colOff>
      <xdr:row>23</xdr:row>
      <xdr:rowOff>16329</xdr:rowOff>
    </xdr:to>
    <xdr:cxnSp macro="">
      <xdr:nvCxnSpPr>
        <xdr:cNvPr id="30" name="Straight Connector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CxnSpPr/>
      </xdr:nvCxnSpPr>
      <xdr:spPr>
        <a:xfrm flipH="1">
          <a:off x="3951514" y="8177370"/>
          <a:ext cx="9415" cy="1659234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386443</xdr:colOff>
      <xdr:row>16</xdr:row>
      <xdr:rowOff>260838</xdr:rowOff>
    </xdr:from>
    <xdr:to>
      <xdr:col>7</xdr:col>
      <xdr:colOff>392717</xdr:colOff>
      <xdr:row>23</xdr:row>
      <xdr:rowOff>10886</xdr:rowOff>
    </xdr:to>
    <xdr:cxnSp macro="">
      <xdr:nvCxnSpPr>
        <xdr:cNvPr id="31" name="Straight Connector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CxnSpPr/>
      </xdr:nvCxnSpPr>
      <xdr:spPr>
        <a:xfrm flipH="1">
          <a:off x="6377668" y="8176113"/>
          <a:ext cx="6274" cy="1655048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7327</xdr:colOff>
      <xdr:row>17</xdr:row>
      <xdr:rowOff>10583</xdr:rowOff>
    </xdr:from>
    <xdr:to>
      <xdr:col>0</xdr:col>
      <xdr:colOff>13182</xdr:colOff>
      <xdr:row>23</xdr:row>
      <xdr:rowOff>63336</xdr:rowOff>
    </xdr:to>
    <xdr:cxnSp macro="">
      <xdr:nvCxnSpPr>
        <xdr:cNvPr id="32" name="Straight Connector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CxnSpPr/>
      </xdr:nvCxnSpPr>
      <xdr:spPr>
        <a:xfrm flipH="1">
          <a:off x="7327" y="8192558"/>
          <a:ext cx="5855" cy="1691053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1062404</xdr:colOff>
      <xdr:row>16</xdr:row>
      <xdr:rowOff>197827</xdr:rowOff>
    </xdr:from>
    <xdr:to>
      <xdr:col>2</xdr:col>
      <xdr:colOff>124558</xdr:colOff>
      <xdr:row>18</xdr:row>
      <xdr:rowOff>73269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1595804" y="8113102"/>
          <a:ext cx="776654" cy="4183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700" b="1">
              <a:latin typeface="Calibri" panose="020F0502020204030204" pitchFamily="34" charset="0"/>
            </a:rPr>
            <a:t>D8D4</a:t>
          </a:r>
        </a:p>
        <a:p>
          <a:pPr algn="ctr"/>
          <a:r>
            <a:rPr lang="en-CA" sz="700" b="1">
              <a:latin typeface="Calibri" panose="020F0502020204030204" pitchFamily="34" charset="0"/>
            </a:rPr>
            <a:t>RECEIVED?</a:t>
          </a:r>
        </a:p>
      </xdr:txBody>
    </xdr:sp>
    <xdr:clientData/>
  </xdr:twoCellAnchor>
  <xdr:twoCellAnchor>
    <xdr:from>
      <xdr:col>2</xdr:col>
      <xdr:colOff>1713035</xdr:colOff>
      <xdr:row>16</xdr:row>
      <xdr:rowOff>203688</xdr:rowOff>
    </xdr:from>
    <xdr:to>
      <xdr:col>5</xdr:col>
      <xdr:colOff>181708</xdr:colOff>
      <xdr:row>18</xdr:row>
      <xdr:rowOff>79130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 txBox="1"/>
      </xdr:nvSpPr>
      <xdr:spPr>
        <a:xfrm>
          <a:off x="3960935" y="8118963"/>
          <a:ext cx="773723" cy="4183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700" b="1">
              <a:latin typeface="Calibri" panose="020F0502020204030204" pitchFamily="34" charset="0"/>
            </a:rPr>
            <a:t>D8D4</a:t>
          </a:r>
        </a:p>
        <a:p>
          <a:pPr algn="ctr"/>
          <a:r>
            <a:rPr lang="en-CA" sz="700" b="1">
              <a:latin typeface="Calibri" panose="020F0502020204030204" pitchFamily="34" charset="0"/>
            </a:rPr>
            <a:t>RECEIVED?</a:t>
          </a:r>
        </a:p>
      </xdr:txBody>
    </xdr:sp>
    <xdr:clientData/>
  </xdr:twoCellAnchor>
  <xdr:twoCellAnchor>
    <xdr:from>
      <xdr:col>7</xdr:col>
      <xdr:colOff>400050</xdr:colOff>
      <xdr:row>16</xdr:row>
      <xdr:rowOff>202223</xdr:rowOff>
    </xdr:from>
    <xdr:to>
      <xdr:col>8</xdr:col>
      <xdr:colOff>26377</xdr:colOff>
      <xdr:row>18</xdr:row>
      <xdr:rowOff>77665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391275" y="8117498"/>
          <a:ext cx="778852" cy="4183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700" b="1">
              <a:latin typeface="Calibri" panose="020F0502020204030204" pitchFamily="34" charset="0"/>
            </a:rPr>
            <a:t>D8D4</a:t>
          </a:r>
        </a:p>
        <a:p>
          <a:pPr algn="ctr"/>
          <a:r>
            <a:rPr lang="en-CA" sz="700" b="1">
              <a:latin typeface="Calibri" panose="020F0502020204030204" pitchFamily="34" charset="0"/>
            </a:rPr>
            <a:t>RECEIVED?</a:t>
          </a:r>
        </a:p>
      </xdr:txBody>
    </xdr:sp>
    <xdr:clientData/>
  </xdr:twoCellAnchor>
  <xdr:twoCellAnchor>
    <xdr:from>
      <xdr:col>1</xdr:col>
      <xdr:colOff>1333501</xdr:colOff>
      <xdr:row>18</xdr:row>
      <xdr:rowOff>36634</xdr:rowOff>
    </xdr:from>
    <xdr:to>
      <xdr:col>1</xdr:col>
      <xdr:colOff>1553308</xdr:colOff>
      <xdr:row>18</xdr:row>
      <xdr:rowOff>249115</xdr:rowOff>
    </xdr:to>
    <xdr:sp macro="" textlink="">
      <xdr:nvSpPr>
        <xdr:cNvPr id="36" name="Rectangle 35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SpPr/>
      </xdr:nvSpPr>
      <xdr:spPr>
        <a:xfrm>
          <a:off x="1866901" y="8494834"/>
          <a:ext cx="219807" cy="212481"/>
        </a:xfrm>
        <a:prstGeom prst="rect">
          <a:avLst/>
        </a:prstGeom>
        <a:noFill/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</xdr:col>
      <xdr:colOff>1332034</xdr:colOff>
      <xdr:row>19</xdr:row>
      <xdr:rowOff>42497</xdr:rowOff>
    </xdr:from>
    <xdr:to>
      <xdr:col>1</xdr:col>
      <xdr:colOff>1551841</xdr:colOff>
      <xdr:row>19</xdr:row>
      <xdr:rowOff>254978</xdr:rowOff>
    </xdr:to>
    <xdr:sp macro="" textlink="">
      <xdr:nvSpPr>
        <xdr:cNvPr id="37" name="Rectangl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/>
      </xdr:nvSpPr>
      <xdr:spPr>
        <a:xfrm>
          <a:off x="1865434" y="8776922"/>
          <a:ext cx="219807" cy="212481"/>
        </a:xfrm>
        <a:prstGeom prst="rect">
          <a:avLst/>
        </a:prstGeom>
        <a:noFill/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</xdr:col>
      <xdr:colOff>1330567</xdr:colOff>
      <xdr:row>20</xdr:row>
      <xdr:rowOff>33706</xdr:rowOff>
    </xdr:from>
    <xdr:to>
      <xdr:col>1</xdr:col>
      <xdr:colOff>1550374</xdr:colOff>
      <xdr:row>20</xdr:row>
      <xdr:rowOff>246187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SpPr/>
      </xdr:nvSpPr>
      <xdr:spPr>
        <a:xfrm>
          <a:off x="1863967" y="9044356"/>
          <a:ext cx="219807" cy="212481"/>
        </a:xfrm>
        <a:prstGeom prst="rect">
          <a:avLst/>
        </a:prstGeom>
        <a:noFill/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</xdr:col>
      <xdr:colOff>1336427</xdr:colOff>
      <xdr:row>21</xdr:row>
      <xdr:rowOff>24915</xdr:rowOff>
    </xdr:from>
    <xdr:to>
      <xdr:col>1</xdr:col>
      <xdr:colOff>1556234</xdr:colOff>
      <xdr:row>21</xdr:row>
      <xdr:rowOff>237396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SpPr/>
      </xdr:nvSpPr>
      <xdr:spPr>
        <a:xfrm>
          <a:off x="1869827" y="9311790"/>
          <a:ext cx="219807" cy="212481"/>
        </a:xfrm>
        <a:prstGeom prst="rect">
          <a:avLst/>
        </a:prstGeom>
        <a:noFill/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</xdr:col>
      <xdr:colOff>1334960</xdr:colOff>
      <xdr:row>22</xdr:row>
      <xdr:rowOff>30778</xdr:rowOff>
    </xdr:from>
    <xdr:to>
      <xdr:col>1</xdr:col>
      <xdr:colOff>1554767</xdr:colOff>
      <xdr:row>22</xdr:row>
      <xdr:rowOff>243259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/>
      </xdr:nvSpPr>
      <xdr:spPr>
        <a:xfrm>
          <a:off x="1868360" y="9584353"/>
          <a:ext cx="219807" cy="212481"/>
        </a:xfrm>
        <a:prstGeom prst="rect">
          <a:avLst/>
        </a:prstGeom>
        <a:noFill/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4</xdr:col>
      <xdr:colOff>218342</xdr:colOff>
      <xdr:row>18</xdr:row>
      <xdr:rowOff>35169</xdr:rowOff>
    </xdr:from>
    <xdr:to>
      <xdr:col>4</xdr:col>
      <xdr:colOff>438149</xdr:colOff>
      <xdr:row>18</xdr:row>
      <xdr:rowOff>247650</xdr:rowOff>
    </xdr:to>
    <xdr:sp macro="" textlink="">
      <xdr:nvSpPr>
        <xdr:cNvPr id="41" name="Rectangl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/>
      </xdr:nvSpPr>
      <xdr:spPr>
        <a:xfrm>
          <a:off x="4237892" y="8493369"/>
          <a:ext cx="219807" cy="212481"/>
        </a:xfrm>
        <a:prstGeom prst="rect">
          <a:avLst/>
        </a:prstGeom>
        <a:noFill/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4</xdr:col>
      <xdr:colOff>216875</xdr:colOff>
      <xdr:row>19</xdr:row>
      <xdr:rowOff>41032</xdr:rowOff>
    </xdr:from>
    <xdr:to>
      <xdr:col>4</xdr:col>
      <xdr:colOff>436682</xdr:colOff>
      <xdr:row>19</xdr:row>
      <xdr:rowOff>253513</xdr:rowOff>
    </xdr:to>
    <xdr:sp macro="" textlink="">
      <xdr:nvSpPr>
        <xdr:cNvPr id="42" name="Rectangl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/>
      </xdr:nvSpPr>
      <xdr:spPr>
        <a:xfrm>
          <a:off x="4236425" y="8775457"/>
          <a:ext cx="219807" cy="212481"/>
        </a:xfrm>
        <a:prstGeom prst="rect">
          <a:avLst/>
        </a:prstGeom>
        <a:noFill/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4</xdr:col>
      <xdr:colOff>215408</xdr:colOff>
      <xdr:row>20</xdr:row>
      <xdr:rowOff>32241</xdr:rowOff>
    </xdr:from>
    <xdr:to>
      <xdr:col>4</xdr:col>
      <xdr:colOff>435215</xdr:colOff>
      <xdr:row>20</xdr:row>
      <xdr:rowOff>244722</xdr:rowOff>
    </xdr:to>
    <xdr:sp macro="" textlink="">
      <xdr:nvSpPr>
        <xdr:cNvPr id="43" name="Rectangle 42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SpPr/>
      </xdr:nvSpPr>
      <xdr:spPr>
        <a:xfrm>
          <a:off x="4234958" y="9042891"/>
          <a:ext cx="219807" cy="212481"/>
        </a:xfrm>
        <a:prstGeom prst="rect">
          <a:avLst/>
        </a:prstGeom>
        <a:noFill/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4</xdr:col>
      <xdr:colOff>221268</xdr:colOff>
      <xdr:row>21</xdr:row>
      <xdr:rowOff>23450</xdr:rowOff>
    </xdr:from>
    <xdr:to>
      <xdr:col>4</xdr:col>
      <xdr:colOff>441075</xdr:colOff>
      <xdr:row>21</xdr:row>
      <xdr:rowOff>235931</xdr:rowOff>
    </xdr:to>
    <xdr:sp macro="" textlink="">
      <xdr:nvSpPr>
        <xdr:cNvPr id="44" name="Rectangle 43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SpPr/>
      </xdr:nvSpPr>
      <xdr:spPr>
        <a:xfrm>
          <a:off x="4240818" y="9310325"/>
          <a:ext cx="219807" cy="212481"/>
        </a:xfrm>
        <a:prstGeom prst="rect">
          <a:avLst/>
        </a:prstGeom>
        <a:noFill/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4</xdr:col>
      <xdr:colOff>219801</xdr:colOff>
      <xdr:row>22</xdr:row>
      <xdr:rowOff>29313</xdr:rowOff>
    </xdr:from>
    <xdr:to>
      <xdr:col>4</xdr:col>
      <xdr:colOff>439608</xdr:colOff>
      <xdr:row>22</xdr:row>
      <xdr:rowOff>241794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/>
      </xdr:nvSpPr>
      <xdr:spPr>
        <a:xfrm>
          <a:off x="4239351" y="9582888"/>
          <a:ext cx="219807" cy="212481"/>
        </a:xfrm>
        <a:prstGeom prst="rect">
          <a:avLst/>
        </a:prstGeom>
        <a:noFill/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7</xdr:col>
      <xdr:colOff>671146</xdr:colOff>
      <xdr:row>18</xdr:row>
      <xdr:rowOff>33704</xdr:rowOff>
    </xdr:from>
    <xdr:to>
      <xdr:col>7</xdr:col>
      <xdr:colOff>890953</xdr:colOff>
      <xdr:row>18</xdr:row>
      <xdr:rowOff>246185</xdr:rowOff>
    </xdr:to>
    <xdr:sp macro="" textlink="">
      <xdr:nvSpPr>
        <xdr:cNvPr id="46" name="Rectangl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/>
      </xdr:nvSpPr>
      <xdr:spPr>
        <a:xfrm>
          <a:off x="6662371" y="8491904"/>
          <a:ext cx="219807" cy="212481"/>
        </a:xfrm>
        <a:prstGeom prst="rect">
          <a:avLst/>
        </a:prstGeom>
        <a:noFill/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7</xdr:col>
      <xdr:colOff>669679</xdr:colOff>
      <xdr:row>19</xdr:row>
      <xdr:rowOff>39567</xdr:rowOff>
    </xdr:from>
    <xdr:to>
      <xdr:col>7</xdr:col>
      <xdr:colOff>889486</xdr:colOff>
      <xdr:row>19</xdr:row>
      <xdr:rowOff>252048</xdr:rowOff>
    </xdr:to>
    <xdr:sp macro="" textlink="">
      <xdr:nvSpPr>
        <xdr:cNvPr id="47" name="Rectangle 46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SpPr/>
      </xdr:nvSpPr>
      <xdr:spPr>
        <a:xfrm>
          <a:off x="6660904" y="8773992"/>
          <a:ext cx="219807" cy="212481"/>
        </a:xfrm>
        <a:prstGeom prst="rect">
          <a:avLst/>
        </a:prstGeom>
        <a:noFill/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7</xdr:col>
      <xdr:colOff>668212</xdr:colOff>
      <xdr:row>20</xdr:row>
      <xdr:rowOff>30776</xdr:rowOff>
    </xdr:from>
    <xdr:to>
      <xdr:col>7</xdr:col>
      <xdr:colOff>888019</xdr:colOff>
      <xdr:row>20</xdr:row>
      <xdr:rowOff>243257</xdr:rowOff>
    </xdr:to>
    <xdr:sp macro="" textlink="">
      <xdr:nvSpPr>
        <xdr:cNvPr id="48" name="Rectangl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/>
      </xdr:nvSpPr>
      <xdr:spPr>
        <a:xfrm>
          <a:off x="6659437" y="9041426"/>
          <a:ext cx="219807" cy="212481"/>
        </a:xfrm>
        <a:prstGeom prst="rect">
          <a:avLst/>
        </a:prstGeom>
        <a:noFill/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7</xdr:col>
      <xdr:colOff>674072</xdr:colOff>
      <xdr:row>21</xdr:row>
      <xdr:rowOff>21985</xdr:rowOff>
    </xdr:from>
    <xdr:to>
      <xdr:col>7</xdr:col>
      <xdr:colOff>893879</xdr:colOff>
      <xdr:row>21</xdr:row>
      <xdr:rowOff>234466</xdr:rowOff>
    </xdr:to>
    <xdr:sp macro="" textlink="">
      <xdr:nvSpPr>
        <xdr:cNvPr id="49" name="Rectangle 48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SpPr/>
      </xdr:nvSpPr>
      <xdr:spPr>
        <a:xfrm>
          <a:off x="6665297" y="9308860"/>
          <a:ext cx="219807" cy="212481"/>
        </a:xfrm>
        <a:prstGeom prst="rect">
          <a:avLst/>
        </a:prstGeom>
        <a:noFill/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7</xdr:col>
      <xdr:colOff>672605</xdr:colOff>
      <xdr:row>22</xdr:row>
      <xdr:rowOff>27848</xdr:rowOff>
    </xdr:from>
    <xdr:to>
      <xdr:col>7</xdr:col>
      <xdr:colOff>892412</xdr:colOff>
      <xdr:row>22</xdr:row>
      <xdr:rowOff>240329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/>
      </xdr:nvSpPr>
      <xdr:spPr>
        <a:xfrm>
          <a:off x="6663830" y="9581423"/>
          <a:ext cx="219807" cy="212481"/>
        </a:xfrm>
        <a:prstGeom prst="rect">
          <a:avLst/>
        </a:prstGeom>
        <a:noFill/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361950</xdr:colOff>
          <xdr:row>8</xdr:row>
          <xdr:rowOff>209550</xdr:rowOff>
        </xdr:from>
        <xdr:to>
          <xdr:col>21</xdr:col>
          <xdr:colOff>374650</xdr:colOff>
          <xdr:row>9</xdr:row>
          <xdr:rowOff>241300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3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PULL BW SKIDS TO 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127000</xdr:colOff>
          <xdr:row>0</xdr:row>
          <xdr:rowOff>0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03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13</xdr:col>
          <xdr:colOff>12700</xdr:colOff>
          <xdr:row>2</xdr:row>
          <xdr:rowOff>0</xdr:rowOff>
        </xdr:to>
        <xdr:sp macro="" textlink="">
          <xdr:nvSpPr>
            <xdr:cNvPr id="17417" name="Button 9" hidden="1">
              <a:extLst>
                <a:ext uri="{63B3BB69-23CF-44E3-9099-C40C66FF867C}">
                  <a14:compatExt spid="_x0000_s17417"/>
                </a:ext>
                <a:ext uri="{FF2B5EF4-FFF2-40B4-BE49-F238E27FC236}">
                  <a16:creationId xmlns:a16="http://schemas.microsoft.com/office/drawing/2014/main" id="{00000000-0008-0000-0300-00000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Font 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381000</xdr:colOff>
          <xdr:row>10</xdr:row>
          <xdr:rowOff>127000</xdr:rowOff>
        </xdr:from>
        <xdr:to>
          <xdr:col>22</xdr:col>
          <xdr:colOff>146050</xdr:colOff>
          <xdr:row>11</xdr:row>
          <xdr:rowOff>374650</xdr:rowOff>
        </xdr:to>
        <xdr:sp macro="" textlink="">
          <xdr:nvSpPr>
            <xdr:cNvPr id="17429" name="Button 21" hidden="1">
              <a:extLst>
                <a:ext uri="{63B3BB69-23CF-44E3-9099-C40C66FF867C}">
                  <a14:compatExt spid="_x0000_s17429"/>
                </a:ext>
                <a:ext uri="{FF2B5EF4-FFF2-40B4-BE49-F238E27FC236}">
                  <a16:creationId xmlns:a16="http://schemas.microsoft.com/office/drawing/2014/main" id="{00000000-0008-0000-0300-00001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Mail and Reset Sheets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2</xdr:row>
      <xdr:rowOff>35718</xdr:rowOff>
    </xdr:from>
    <xdr:to>
      <xdr:col>0</xdr:col>
      <xdr:colOff>578644</xdr:colOff>
      <xdr:row>7</xdr:row>
      <xdr:rowOff>523874</xdr:rowOff>
    </xdr:to>
    <xdr:sp macro="" textlink="">
      <xdr:nvSpPr>
        <xdr:cNvPr id="55" name="WordArt 2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SpPr>
          <a:spLocks noChangeArrowheads="1" noChangeShapeType="1" noTextEdit="1"/>
        </xdr:cNvSpPr>
      </xdr:nvSpPr>
      <xdr:spPr bwMode="auto">
        <a:xfrm rot="5400000">
          <a:off x="-1121568" y="1728786"/>
          <a:ext cx="2774156" cy="531019"/>
        </a:xfrm>
        <a:prstGeom prst="rect">
          <a:avLst/>
        </a:prstGeom>
      </xdr:spPr>
      <xdr:txBody>
        <a:bodyPr vert="wordArtVert"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 fontAlgn="auto"/>
          <a:r>
            <a:rPr lang="en-US" sz="3600" kern="10" spc="0">
              <a:ln w="12700">
                <a:solidFill>
                  <a:srgbClr val="000000"/>
                </a:solidFill>
                <a:round/>
                <a:headEnd/>
                <a:tailEnd/>
              </a:ln>
              <a:solidFill>
                <a:srgbClr val="C0C0C0"/>
              </a:solidFill>
              <a:effectLst>
                <a:outerShdw dist="53882" dir="2700000" algn="ctr" rotWithShape="0">
                  <a:srgbClr val="CBCBCB">
                    <a:alpha val="80000"/>
                  </a:srgbClr>
                </a:outerShdw>
              </a:effectLst>
              <a:latin typeface="Calibri"/>
            </a:rPr>
            <a:t>Crossways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152400</xdr:colOff>
      <xdr:row>7</xdr:row>
      <xdr:rowOff>371475</xdr:rowOff>
    </xdr:from>
    <xdr:to>
      <xdr:col>4</xdr:col>
      <xdr:colOff>495300</xdr:colOff>
      <xdr:row>16</xdr:row>
      <xdr:rowOff>0</xdr:rowOff>
    </xdr:to>
    <xdr:sp macro="" textlink="">
      <xdr:nvSpPr>
        <xdr:cNvPr id="2" name="AutoShap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>
          <a:spLocks noChangeArrowheads="1"/>
        </xdr:cNvSpPr>
      </xdr:nvSpPr>
      <xdr:spPr bwMode="auto">
        <a:xfrm rot="5400000">
          <a:off x="2000250" y="5400675"/>
          <a:ext cx="4686300" cy="342900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43208067 h 21600"/>
            <a:gd name="T4" fmla="*/ 2147483647 w 21600"/>
            <a:gd name="T5" fmla="*/ 86416134 h 21600"/>
            <a:gd name="T6" fmla="*/ 2147483647 w 21600"/>
            <a:gd name="T7" fmla="*/ 4320806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28575</xdr:colOff>
      <xdr:row>3</xdr:row>
      <xdr:rowOff>19050</xdr:rowOff>
    </xdr:from>
    <xdr:to>
      <xdr:col>5</xdr:col>
      <xdr:colOff>0</xdr:colOff>
      <xdr:row>7</xdr:row>
      <xdr:rowOff>285750</xdr:rowOff>
    </xdr:to>
    <xdr:sp macro="" textlink="">
      <xdr:nvSpPr>
        <xdr:cNvPr id="3" name="Word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>
          <a:spLocks noChangeArrowheads="1" noChangeShapeType="1" noTextEdit="1"/>
        </xdr:cNvSpPr>
      </xdr:nvSpPr>
      <xdr:spPr bwMode="auto">
        <a:xfrm rot="5400000">
          <a:off x="3043238" y="1633537"/>
          <a:ext cx="2514600" cy="504825"/>
        </a:xfrm>
        <a:prstGeom prst="rect">
          <a:avLst/>
        </a:prstGeom>
      </xdr:spPr>
      <xdr:txBody>
        <a:bodyPr vert="wordArtVert"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 fontAlgn="auto"/>
          <a:r>
            <a:rPr lang="en-US" sz="3600" kern="10" spc="0">
              <a:ln w="12700">
                <a:solidFill>
                  <a:srgbClr val="000000"/>
                </a:solidFill>
                <a:round/>
                <a:headEnd/>
                <a:tailEnd/>
              </a:ln>
              <a:solidFill>
                <a:srgbClr val="C0C0C0"/>
              </a:solidFill>
              <a:effectLst>
                <a:outerShdw dist="53882" dir="2700000" algn="ctr" rotWithShape="0">
                  <a:srgbClr val="CBCBCB">
                    <a:alpha val="80000"/>
                  </a:srgbClr>
                </a:outerShdw>
              </a:effectLst>
              <a:latin typeface="Calibri"/>
            </a:rPr>
            <a:t>Crossways</a:t>
          </a:r>
        </a:p>
      </xdr:txBody>
    </xdr:sp>
    <xdr:clientData/>
  </xdr:twoCellAnchor>
  <xdr:twoCellAnchor>
    <xdr:from>
      <xdr:col>0</xdr:col>
      <xdr:colOff>107157</xdr:colOff>
      <xdr:row>8</xdr:row>
      <xdr:rowOff>107156</xdr:rowOff>
    </xdr:from>
    <xdr:to>
      <xdr:col>0</xdr:col>
      <xdr:colOff>450057</xdr:colOff>
      <xdr:row>16</xdr:row>
      <xdr:rowOff>0</xdr:rowOff>
    </xdr:to>
    <xdr:sp macro="" textlink="">
      <xdr:nvSpPr>
        <xdr:cNvPr id="4" name="AutoShape 1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>
          <a:spLocks noChangeArrowheads="1"/>
        </xdr:cNvSpPr>
      </xdr:nvSpPr>
      <xdr:spPr bwMode="auto">
        <a:xfrm rot="5400000">
          <a:off x="-1915715" y="5549503"/>
          <a:ext cx="4388644" cy="342900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43208067 h 21600"/>
            <a:gd name="T4" fmla="*/ 2147483647 w 21600"/>
            <a:gd name="T5" fmla="*/ 86416134 h 21600"/>
            <a:gd name="T6" fmla="*/ 2147483647 w 21600"/>
            <a:gd name="T7" fmla="*/ 4320806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2</xdr:row>
      <xdr:rowOff>35718</xdr:rowOff>
    </xdr:from>
    <xdr:to>
      <xdr:col>0</xdr:col>
      <xdr:colOff>578644</xdr:colOff>
      <xdr:row>7</xdr:row>
      <xdr:rowOff>523874</xdr:rowOff>
    </xdr:to>
    <xdr:sp macro="" textlink="">
      <xdr:nvSpPr>
        <xdr:cNvPr id="5" name="WordArt 2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>
          <a:spLocks noChangeArrowheads="1" noChangeShapeType="1" noTextEdit="1"/>
        </xdr:cNvSpPr>
      </xdr:nvSpPr>
      <xdr:spPr bwMode="auto">
        <a:xfrm rot="5400000">
          <a:off x="-1121568" y="1728786"/>
          <a:ext cx="2774156" cy="531019"/>
        </a:xfrm>
        <a:prstGeom prst="rect">
          <a:avLst/>
        </a:prstGeom>
      </xdr:spPr>
      <xdr:txBody>
        <a:bodyPr vert="wordArtVert"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 fontAlgn="auto"/>
          <a:r>
            <a:rPr lang="en-US" sz="3600" kern="10" spc="0">
              <a:ln w="12700">
                <a:solidFill>
                  <a:srgbClr val="000000"/>
                </a:solidFill>
                <a:round/>
                <a:headEnd/>
                <a:tailEnd/>
              </a:ln>
              <a:solidFill>
                <a:srgbClr val="C0C0C0"/>
              </a:solidFill>
              <a:effectLst>
                <a:outerShdw dist="53882" dir="2700000" algn="ctr" rotWithShape="0">
                  <a:srgbClr val="CBCBCB">
                    <a:alpha val="80000"/>
                  </a:srgbClr>
                </a:outerShdw>
              </a:effectLst>
              <a:latin typeface="Calibri"/>
            </a:rPr>
            <a:t>Crossways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25</xdr:row>
          <xdr:rowOff>0</xdr:rowOff>
        </xdr:from>
        <xdr:to>
          <xdr:col>7</xdr:col>
          <xdr:colOff>1060450</xdr:colOff>
          <xdr:row>85</xdr:row>
          <xdr:rowOff>133350</xdr:rowOff>
        </xdr:to>
        <xdr:sp macro="" textlink="">
          <xdr:nvSpPr>
            <xdr:cNvPr id="19457" name="Object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4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127000</xdr:colOff>
          <xdr:row>0</xdr:row>
          <xdr:rowOff>0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4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13</xdr:col>
          <xdr:colOff>12700</xdr:colOff>
          <xdr:row>2</xdr:row>
          <xdr:rowOff>0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4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Font 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12700</xdr:colOff>
          <xdr:row>0</xdr:row>
          <xdr:rowOff>0</xdr:rowOff>
        </xdr:from>
        <xdr:to>
          <xdr:col>18</xdr:col>
          <xdr:colOff>165100</xdr:colOff>
          <xdr:row>2</xdr:row>
          <xdr:rowOff>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4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B/W 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190500</xdr:colOff>
          <xdr:row>0</xdr:row>
          <xdr:rowOff>0</xdr:rowOff>
        </xdr:from>
        <xdr:to>
          <xdr:col>20</xdr:col>
          <xdr:colOff>355600</xdr:colOff>
          <xdr:row>2</xdr:row>
          <xdr:rowOff>0</xdr:rowOff>
        </xdr:to>
        <xdr:sp macro="" textlink="">
          <xdr:nvSpPr>
            <xdr:cNvPr id="19461" name="Button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4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B/W's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7327</xdr:colOff>
      <xdr:row>17</xdr:row>
      <xdr:rowOff>10583</xdr:rowOff>
    </xdr:from>
    <xdr:to>
      <xdr:col>2</xdr:col>
      <xdr:colOff>113161</xdr:colOff>
      <xdr:row>18</xdr:row>
      <xdr:rowOff>10585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7327" y="8192558"/>
          <a:ext cx="2353734" cy="276227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400" b="1">
              <a:solidFill>
                <a:sysClr val="windowText" lastClr="000000"/>
              </a:solidFill>
              <a:latin typeface="Calibri" panose="020F0502020204030204" pitchFamily="34" charset="0"/>
            </a:rPr>
            <a:t>            STORE</a:t>
          </a:r>
        </a:p>
      </xdr:txBody>
    </xdr:sp>
    <xdr:clientData/>
  </xdr:twoCellAnchor>
  <xdr:twoCellAnchor>
    <xdr:from>
      <xdr:col>0</xdr:col>
      <xdr:colOff>14821</xdr:colOff>
      <xdr:row>18</xdr:row>
      <xdr:rowOff>7484</xdr:rowOff>
    </xdr:from>
    <xdr:to>
      <xdr:col>2</xdr:col>
      <xdr:colOff>120655</xdr:colOff>
      <xdr:row>19</xdr:row>
      <xdr:rowOff>7485</xdr:rowOff>
    </xdr:to>
    <xdr:sp macro="" textlink="J6">
      <xdr:nvSpPr>
        <xdr:cNvPr id="12" name="Rectangle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14821" y="8465684"/>
          <a:ext cx="2353734" cy="276226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86E399B3-A2BD-47C7-A344-C6B594F10068}" type="TxLink">
            <a:rPr lang="en-US" sz="1600" b="0" i="0" u="none" strike="noStrike">
              <a:solidFill>
                <a:srgbClr val="000000"/>
              </a:solidFill>
              <a:latin typeface="Calibri"/>
              <a:cs typeface="Arial"/>
            </a:rPr>
            <a:pPr algn="l"/>
            <a:t> </a:t>
          </a:fld>
          <a:endParaRPr lang="en-US"/>
        </a:p>
      </xdr:txBody>
    </xdr:sp>
    <xdr:clientData/>
  </xdr:twoCellAnchor>
  <xdr:twoCellAnchor>
    <xdr:from>
      <xdr:col>0</xdr:col>
      <xdr:colOff>7327</xdr:colOff>
      <xdr:row>19</xdr:row>
      <xdr:rowOff>7327</xdr:rowOff>
    </xdr:from>
    <xdr:to>
      <xdr:col>2</xdr:col>
      <xdr:colOff>113161</xdr:colOff>
      <xdr:row>20</xdr:row>
      <xdr:rowOff>7329</xdr:rowOff>
    </xdr:to>
    <xdr:sp macro="" textlink="J7">
      <xdr:nvSpPr>
        <xdr:cNvPr id="13" name="Rectangle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>
        <a:xfrm>
          <a:off x="7327" y="8741752"/>
          <a:ext cx="2353734" cy="276227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6E4648E1-60F2-4D7F-B397-1A858E61BC9C}" type="TxLink">
            <a:rPr lang="en-US" sz="1600" b="0" i="0" u="none" strike="noStrike">
              <a:solidFill>
                <a:srgbClr val="000000"/>
              </a:solidFill>
              <a:latin typeface="Calibri"/>
              <a:cs typeface="Arial"/>
            </a:rPr>
            <a:pPr algn="l"/>
            <a:t> </a:t>
          </a:fld>
          <a:endParaRPr lang="en-CA" sz="1100"/>
        </a:p>
      </xdr:txBody>
    </xdr:sp>
    <xdr:clientData/>
  </xdr:twoCellAnchor>
  <xdr:twoCellAnchor>
    <xdr:from>
      <xdr:col>0</xdr:col>
      <xdr:colOff>7327</xdr:colOff>
      <xdr:row>20</xdr:row>
      <xdr:rowOff>0</xdr:rowOff>
    </xdr:from>
    <xdr:to>
      <xdr:col>2</xdr:col>
      <xdr:colOff>113161</xdr:colOff>
      <xdr:row>21</xdr:row>
      <xdr:rowOff>2</xdr:rowOff>
    </xdr:to>
    <xdr:sp macro="" textlink="J8">
      <xdr:nvSpPr>
        <xdr:cNvPr id="14" name="Rectangle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>
        <a:xfrm>
          <a:off x="7327" y="9010650"/>
          <a:ext cx="2353734" cy="276227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5669564C-86EA-4D49-8C06-AD81305335DA}" type="TxLink">
            <a:rPr lang="en-US" sz="1600" b="0" i="0" u="none" strike="noStrike">
              <a:solidFill>
                <a:srgbClr val="000000"/>
              </a:solidFill>
              <a:latin typeface="Calibri"/>
              <a:cs typeface="Arial"/>
            </a:rPr>
            <a:pPr algn="l"/>
            <a:t> </a:t>
          </a:fld>
          <a:endParaRPr lang="en-CA" sz="1100"/>
        </a:p>
      </xdr:txBody>
    </xdr:sp>
    <xdr:clientData/>
  </xdr:twoCellAnchor>
  <xdr:twoCellAnchor>
    <xdr:from>
      <xdr:col>0</xdr:col>
      <xdr:colOff>7327</xdr:colOff>
      <xdr:row>20</xdr:row>
      <xdr:rowOff>263769</xdr:rowOff>
    </xdr:from>
    <xdr:to>
      <xdr:col>2</xdr:col>
      <xdr:colOff>113161</xdr:colOff>
      <xdr:row>22</xdr:row>
      <xdr:rowOff>2</xdr:rowOff>
    </xdr:to>
    <xdr:sp macro="" textlink="J9">
      <xdr:nvSpPr>
        <xdr:cNvPr id="15" name="Rectangle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/>
      </xdr:nvSpPr>
      <xdr:spPr>
        <a:xfrm>
          <a:off x="7327" y="9274419"/>
          <a:ext cx="2353734" cy="279158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8ADC0B1A-BE06-4E51-91A7-C56418AEB95A}" type="TxLink">
            <a:rPr lang="en-US" sz="1600" b="0" i="0" u="none" strike="noStrike">
              <a:solidFill>
                <a:srgbClr val="000000"/>
              </a:solidFill>
              <a:latin typeface="Calibri"/>
              <a:cs typeface="Arial"/>
            </a:rPr>
            <a:pPr algn="l"/>
            <a:t> </a:t>
          </a:fld>
          <a:endParaRPr lang="en-CA" sz="1100"/>
        </a:p>
      </xdr:txBody>
    </xdr:sp>
    <xdr:clientData/>
  </xdr:twoCellAnchor>
  <xdr:twoCellAnchor>
    <xdr:from>
      <xdr:col>0</xdr:col>
      <xdr:colOff>7327</xdr:colOff>
      <xdr:row>21</xdr:row>
      <xdr:rowOff>256442</xdr:rowOff>
    </xdr:from>
    <xdr:to>
      <xdr:col>2</xdr:col>
      <xdr:colOff>113161</xdr:colOff>
      <xdr:row>23</xdr:row>
      <xdr:rowOff>7328</xdr:rowOff>
    </xdr:to>
    <xdr:sp macro="" textlink="J10">
      <xdr:nvSpPr>
        <xdr:cNvPr id="16" name="Rectangl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/>
      </xdr:nvSpPr>
      <xdr:spPr>
        <a:xfrm>
          <a:off x="7327" y="9543317"/>
          <a:ext cx="2353734" cy="284286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C923BA89-8BA6-4C88-AE5E-72875293C08B}" type="TxLink">
            <a:rPr lang="en-US" sz="1600" b="0" i="0" u="none" strike="noStrike">
              <a:solidFill>
                <a:srgbClr val="000000"/>
              </a:solidFill>
              <a:latin typeface="Calibri"/>
              <a:cs typeface="Arial"/>
            </a:rPr>
            <a:pPr algn="l"/>
            <a:t> </a:t>
          </a:fld>
          <a:endParaRPr lang="en-CA" sz="1100"/>
        </a:p>
      </xdr:txBody>
    </xdr:sp>
    <xdr:clientData/>
  </xdr:twoCellAnchor>
  <xdr:twoCellAnchor>
    <xdr:from>
      <xdr:col>2</xdr:col>
      <xdr:colOff>115766</xdr:colOff>
      <xdr:row>17</xdr:row>
      <xdr:rowOff>9117</xdr:rowOff>
    </xdr:from>
    <xdr:to>
      <xdr:col>5</xdr:col>
      <xdr:colOff>162984</xdr:colOff>
      <xdr:row>18</xdr:row>
      <xdr:rowOff>9119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/>
      </xdr:nvSpPr>
      <xdr:spPr>
        <a:xfrm>
          <a:off x="2363666" y="8191092"/>
          <a:ext cx="2352268" cy="276227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400" b="1">
              <a:solidFill>
                <a:sysClr val="windowText" lastClr="000000"/>
              </a:solidFill>
              <a:latin typeface="Calibri" panose="020F0502020204030204" pitchFamily="34" charset="0"/>
            </a:rPr>
            <a:t>            STORE</a:t>
          </a:r>
        </a:p>
      </xdr:txBody>
    </xdr:sp>
    <xdr:clientData/>
  </xdr:twoCellAnchor>
  <xdr:twoCellAnchor>
    <xdr:from>
      <xdr:col>2</xdr:col>
      <xdr:colOff>120004</xdr:colOff>
      <xdr:row>18</xdr:row>
      <xdr:rowOff>6020</xdr:rowOff>
    </xdr:from>
    <xdr:to>
      <xdr:col>5</xdr:col>
      <xdr:colOff>161192</xdr:colOff>
      <xdr:row>19</xdr:row>
      <xdr:rowOff>6021</xdr:rowOff>
    </xdr:to>
    <xdr:sp macro="" textlink="J11">
      <xdr:nvSpPr>
        <xdr:cNvPr id="18" name="Rectangle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/>
      </xdr:nvSpPr>
      <xdr:spPr>
        <a:xfrm>
          <a:off x="2367904" y="8464220"/>
          <a:ext cx="2346238" cy="276226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3452266-DEA2-4EE8-A3A3-D66B11143D1C}" type="TxLink">
            <a:rPr lang="en-US" sz="1600" b="0" i="0" u="none" strike="noStrike">
              <a:solidFill>
                <a:srgbClr val="000000"/>
              </a:solidFill>
              <a:latin typeface="Calibri"/>
              <a:cs typeface="Arial"/>
            </a:rPr>
            <a:pPr algn="l"/>
            <a:t> </a:t>
          </a:fld>
          <a:endParaRPr lang="en-CA" sz="1100"/>
        </a:p>
      </xdr:txBody>
    </xdr:sp>
    <xdr:clientData/>
  </xdr:twoCellAnchor>
  <xdr:twoCellAnchor>
    <xdr:from>
      <xdr:col>2</xdr:col>
      <xdr:colOff>115766</xdr:colOff>
      <xdr:row>19</xdr:row>
      <xdr:rowOff>5861</xdr:rowOff>
    </xdr:from>
    <xdr:to>
      <xdr:col>5</xdr:col>
      <xdr:colOff>162984</xdr:colOff>
      <xdr:row>20</xdr:row>
      <xdr:rowOff>5863</xdr:rowOff>
    </xdr:to>
    <xdr:sp macro="" textlink="J12">
      <xdr:nvSpPr>
        <xdr:cNvPr id="19" name="Rectangle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/>
      </xdr:nvSpPr>
      <xdr:spPr>
        <a:xfrm>
          <a:off x="2363666" y="8740286"/>
          <a:ext cx="2352268" cy="276227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44669102-6F2F-4FC3-8646-472EED4B1C3B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 </a:t>
          </a:fld>
          <a:endParaRPr lang="en-CA" sz="1100"/>
        </a:p>
      </xdr:txBody>
    </xdr:sp>
    <xdr:clientData/>
  </xdr:twoCellAnchor>
  <xdr:twoCellAnchor>
    <xdr:from>
      <xdr:col>2</xdr:col>
      <xdr:colOff>115766</xdr:colOff>
      <xdr:row>19</xdr:row>
      <xdr:rowOff>276957</xdr:rowOff>
    </xdr:from>
    <xdr:to>
      <xdr:col>5</xdr:col>
      <xdr:colOff>162984</xdr:colOff>
      <xdr:row>20</xdr:row>
      <xdr:rowOff>276959</xdr:rowOff>
    </xdr:to>
    <xdr:sp macro="" textlink="J13">
      <xdr:nvSpPr>
        <xdr:cNvPr id="20" name="Rectangle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/>
      </xdr:nvSpPr>
      <xdr:spPr>
        <a:xfrm>
          <a:off x="2363666" y="9011382"/>
          <a:ext cx="2352268" cy="276227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AAD8DBAD-6B87-410A-B30C-F17E82EAD598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 </a:t>
          </a:fld>
          <a:endParaRPr lang="en-CA" sz="1100"/>
        </a:p>
      </xdr:txBody>
    </xdr:sp>
    <xdr:clientData/>
  </xdr:twoCellAnchor>
  <xdr:twoCellAnchor>
    <xdr:from>
      <xdr:col>2</xdr:col>
      <xdr:colOff>115766</xdr:colOff>
      <xdr:row>20</xdr:row>
      <xdr:rowOff>262303</xdr:rowOff>
    </xdr:from>
    <xdr:to>
      <xdr:col>5</xdr:col>
      <xdr:colOff>162984</xdr:colOff>
      <xdr:row>21</xdr:row>
      <xdr:rowOff>262305</xdr:rowOff>
    </xdr:to>
    <xdr:sp macro="" textlink="J14">
      <xdr:nvSpPr>
        <xdr:cNvPr id="21" name="Rectangle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>
          <a:off x="2363666" y="9272953"/>
          <a:ext cx="2352268" cy="276227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8308BE55-B0E0-44ED-A7FD-F01B8254EE8C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 </a:t>
          </a:fld>
          <a:endParaRPr lang="en-CA" sz="1100"/>
        </a:p>
      </xdr:txBody>
    </xdr:sp>
    <xdr:clientData/>
  </xdr:twoCellAnchor>
  <xdr:twoCellAnchor>
    <xdr:from>
      <xdr:col>2</xdr:col>
      <xdr:colOff>115766</xdr:colOff>
      <xdr:row>21</xdr:row>
      <xdr:rowOff>254976</xdr:rowOff>
    </xdr:from>
    <xdr:to>
      <xdr:col>5</xdr:col>
      <xdr:colOff>162984</xdr:colOff>
      <xdr:row>23</xdr:row>
      <xdr:rowOff>5862</xdr:rowOff>
    </xdr:to>
    <xdr:sp macro="" textlink="J15">
      <xdr:nvSpPr>
        <xdr:cNvPr id="22" name="Rectangle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/>
      </xdr:nvSpPr>
      <xdr:spPr>
        <a:xfrm>
          <a:off x="2363666" y="9541851"/>
          <a:ext cx="2352268" cy="284286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93CA0F84-4426-4C40-B047-69D6290DAA7B}" type="TxLink">
            <a:rPr lang="en-US" sz="1600" b="0" i="0" u="none" strike="noStrike">
              <a:solidFill>
                <a:srgbClr val="000000"/>
              </a:solidFill>
              <a:latin typeface="Calibri"/>
            </a:rPr>
            <a:pPr algn="l"/>
            <a:t> </a:t>
          </a:fld>
          <a:endParaRPr lang="en-CA" sz="1100"/>
        </a:p>
      </xdr:txBody>
    </xdr:sp>
    <xdr:clientData/>
  </xdr:twoCellAnchor>
  <xdr:twoCellAnchor>
    <xdr:from>
      <xdr:col>5</xdr:col>
      <xdr:colOff>171608</xdr:colOff>
      <xdr:row>17</xdr:row>
      <xdr:rowOff>7327</xdr:rowOff>
    </xdr:from>
    <xdr:to>
      <xdr:col>8</xdr:col>
      <xdr:colOff>7327</xdr:colOff>
      <xdr:row>18</xdr:row>
      <xdr:rowOff>7329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/>
      </xdr:nvSpPr>
      <xdr:spPr>
        <a:xfrm>
          <a:off x="4724558" y="8189302"/>
          <a:ext cx="2426519" cy="276227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400" b="1" baseline="0">
              <a:solidFill>
                <a:sysClr val="windowText" lastClr="000000"/>
              </a:solidFill>
              <a:latin typeface="Calibri" panose="020F0502020204030204" pitchFamily="34" charset="0"/>
            </a:rPr>
            <a:t>            </a:t>
          </a:r>
          <a:r>
            <a:rPr lang="en-CA" sz="1400" b="1">
              <a:solidFill>
                <a:sysClr val="windowText" lastClr="000000"/>
              </a:solidFill>
              <a:latin typeface="Calibri" panose="020F0502020204030204" pitchFamily="34" charset="0"/>
            </a:rPr>
            <a:t>STORE</a:t>
          </a:r>
        </a:p>
      </xdr:txBody>
    </xdr:sp>
    <xdr:clientData/>
  </xdr:twoCellAnchor>
  <xdr:twoCellAnchor>
    <xdr:from>
      <xdr:col>5</xdr:col>
      <xdr:colOff>168519</xdr:colOff>
      <xdr:row>18</xdr:row>
      <xdr:rowOff>4230</xdr:rowOff>
    </xdr:from>
    <xdr:to>
      <xdr:col>8</xdr:col>
      <xdr:colOff>7327</xdr:colOff>
      <xdr:row>19</xdr:row>
      <xdr:rowOff>4231</xdr:rowOff>
    </xdr:to>
    <xdr:sp macro="" textlink="J16">
      <xdr:nvSpPr>
        <xdr:cNvPr id="24" name="Rectangle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/>
      </xdr:nvSpPr>
      <xdr:spPr>
        <a:xfrm>
          <a:off x="4721469" y="8462430"/>
          <a:ext cx="2429608" cy="276226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8CD77D6F-4E50-45D7-80A0-FA4C3265735D}" type="TxLink">
            <a:rPr lang="en-US" sz="1600" b="0" i="0" u="none" strike="noStrike">
              <a:solidFill>
                <a:srgbClr val="000000"/>
              </a:solidFill>
              <a:latin typeface="Calibri"/>
            </a:rPr>
            <a:pPr algn="l"/>
            <a:t> </a:t>
          </a:fld>
          <a:endParaRPr lang="en-CA" sz="1100"/>
        </a:p>
      </xdr:txBody>
    </xdr:sp>
    <xdr:clientData/>
  </xdr:twoCellAnchor>
  <xdr:twoCellAnchor>
    <xdr:from>
      <xdr:col>5</xdr:col>
      <xdr:colOff>171608</xdr:colOff>
      <xdr:row>19</xdr:row>
      <xdr:rowOff>4071</xdr:rowOff>
    </xdr:from>
    <xdr:to>
      <xdr:col>8</xdr:col>
      <xdr:colOff>7327</xdr:colOff>
      <xdr:row>20</xdr:row>
      <xdr:rowOff>4073</xdr:rowOff>
    </xdr:to>
    <xdr:sp macro="" textlink="J17">
      <xdr:nvSpPr>
        <xdr:cNvPr id="25" name="Rectangle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/>
      </xdr:nvSpPr>
      <xdr:spPr>
        <a:xfrm>
          <a:off x="4724558" y="8738496"/>
          <a:ext cx="2426519" cy="276227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44E87761-F326-47D3-BE9E-47E766D20D0F}" type="TxLink">
            <a:rPr lang="en-US" sz="1600" b="0" i="0" u="none" strike="noStrike">
              <a:solidFill>
                <a:srgbClr val="000000"/>
              </a:solidFill>
              <a:latin typeface="Calibri"/>
            </a:rPr>
            <a:pPr algn="l"/>
            <a:t> </a:t>
          </a:fld>
          <a:endParaRPr lang="en-CA" sz="1100"/>
        </a:p>
      </xdr:txBody>
    </xdr:sp>
    <xdr:clientData/>
  </xdr:twoCellAnchor>
  <xdr:twoCellAnchor>
    <xdr:from>
      <xdr:col>5</xdr:col>
      <xdr:colOff>171608</xdr:colOff>
      <xdr:row>19</xdr:row>
      <xdr:rowOff>275167</xdr:rowOff>
    </xdr:from>
    <xdr:to>
      <xdr:col>8</xdr:col>
      <xdr:colOff>8004</xdr:colOff>
      <xdr:row>20</xdr:row>
      <xdr:rowOff>275169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/>
      </xdr:nvSpPr>
      <xdr:spPr>
        <a:xfrm>
          <a:off x="4724558" y="9009592"/>
          <a:ext cx="2427196" cy="276227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5</xdr:col>
      <xdr:colOff>171608</xdr:colOff>
      <xdr:row>20</xdr:row>
      <xdr:rowOff>260513</xdr:rowOff>
    </xdr:from>
    <xdr:to>
      <xdr:col>8</xdr:col>
      <xdr:colOff>8004</xdr:colOff>
      <xdr:row>21</xdr:row>
      <xdr:rowOff>260515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/>
      </xdr:nvSpPr>
      <xdr:spPr>
        <a:xfrm>
          <a:off x="4724558" y="9271163"/>
          <a:ext cx="2427196" cy="276227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5</xdr:col>
      <xdr:colOff>171607</xdr:colOff>
      <xdr:row>21</xdr:row>
      <xdr:rowOff>253186</xdr:rowOff>
    </xdr:from>
    <xdr:to>
      <xdr:col>8</xdr:col>
      <xdr:colOff>8003</xdr:colOff>
      <xdr:row>23</xdr:row>
      <xdr:rowOff>4072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SpPr/>
      </xdr:nvSpPr>
      <xdr:spPr>
        <a:xfrm>
          <a:off x="4724557" y="9540061"/>
          <a:ext cx="2427196" cy="284286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</xdr:col>
      <xdr:colOff>1028700</xdr:colOff>
      <xdr:row>17</xdr:row>
      <xdr:rowOff>7327</xdr:rowOff>
    </xdr:from>
    <xdr:to>
      <xdr:col>1</xdr:col>
      <xdr:colOff>1040417</xdr:colOff>
      <xdr:row>23</xdr:row>
      <xdr:rowOff>0</xdr:rowOff>
    </xdr:to>
    <xdr:cxnSp macro="">
      <xdr:nvCxnSpPr>
        <xdr:cNvPr id="29" name="Straight Connector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CxnSpPr/>
      </xdr:nvCxnSpPr>
      <xdr:spPr>
        <a:xfrm flipH="1">
          <a:off x="1562100" y="8189302"/>
          <a:ext cx="11717" cy="1630973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1703614</xdr:colOff>
      <xdr:row>16</xdr:row>
      <xdr:rowOff>262095</xdr:rowOff>
    </xdr:from>
    <xdr:to>
      <xdr:col>2</xdr:col>
      <xdr:colOff>1713029</xdr:colOff>
      <xdr:row>23</xdr:row>
      <xdr:rowOff>16329</xdr:rowOff>
    </xdr:to>
    <xdr:cxnSp macro="">
      <xdr:nvCxnSpPr>
        <xdr:cNvPr id="30" name="Straight Connector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CxnSpPr/>
      </xdr:nvCxnSpPr>
      <xdr:spPr>
        <a:xfrm flipH="1">
          <a:off x="3951514" y="8177370"/>
          <a:ext cx="9415" cy="1659234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386443</xdr:colOff>
      <xdr:row>16</xdr:row>
      <xdr:rowOff>260838</xdr:rowOff>
    </xdr:from>
    <xdr:to>
      <xdr:col>7</xdr:col>
      <xdr:colOff>392717</xdr:colOff>
      <xdr:row>23</xdr:row>
      <xdr:rowOff>10886</xdr:rowOff>
    </xdr:to>
    <xdr:cxnSp macro="">
      <xdr:nvCxnSpPr>
        <xdr:cNvPr id="31" name="Straight Connector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CxnSpPr/>
      </xdr:nvCxnSpPr>
      <xdr:spPr>
        <a:xfrm flipH="1">
          <a:off x="6377668" y="8176113"/>
          <a:ext cx="6274" cy="1655048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7327</xdr:colOff>
      <xdr:row>17</xdr:row>
      <xdr:rowOff>10583</xdr:rowOff>
    </xdr:from>
    <xdr:to>
      <xdr:col>0</xdr:col>
      <xdr:colOff>13182</xdr:colOff>
      <xdr:row>23</xdr:row>
      <xdr:rowOff>63336</xdr:rowOff>
    </xdr:to>
    <xdr:cxnSp macro="">
      <xdr:nvCxnSpPr>
        <xdr:cNvPr id="32" name="Straight Connector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CxnSpPr/>
      </xdr:nvCxnSpPr>
      <xdr:spPr>
        <a:xfrm flipH="1">
          <a:off x="7327" y="8192558"/>
          <a:ext cx="5855" cy="1691053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1062404</xdr:colOff>
      <xdr:row>16</xdr:row>
      <xdr:rowOff>197827</xdr:rowOff>
    </xdr:from>
    <xdr:to>
      <xdr:col>2</xdr:col>
      <xdr:colOff>124558</xdr:colOff>
      <xdr:row>18</xdr:row>
      <xdr:rowOff>73269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1595804" y="8113102"/>
          <a:ext cx="776654" cy="4183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700" b="1">
              <a:latin typeface="Calibri" panose="020F0502020204030204" pitchFamily="34" charset="0"/>
            </a:rPr>
            <a:t>D8D4</a:t>
          </a:r>
        </a:p>
        <a:p>
          <a:pPr algn="ctr"/>
          <a:r>
            <a:rPr lang="en-CA" sz="700" b="1">
              <a:latin typeface="Calibri" panose="020F0502020204030204" pitchFamily="34" charset="0"/>
            </a:rPr>
            <a:t>RECEIVED?</a:t>
          </a:r>
        </a:p>
      </xdr:txBody>
    </xdr:sp>
    <xdr:clientData/>
  </xdr:twoCellAnchor>
  <xdr:twoCellAnchor>
    <xdr:from>
      <xdr:col>2</xdr:col>
      <xdr:colOff>1713035</xdr:colOff>
      <xdr:row>16</xdr:row>
      <xdr:rowOff>203688</xdr:rowOff>
    </xdr:from>
    <xdr:to>
      <xdr:col>5</xdr:col>
      <xdr:colOff>181708</xdr:colOff>
      <xdr:row>18</xdr:row>
      <xdr:rowOff>79130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 txBox="1"/>
      </xdr:nvSpPr>
      <xdr:spPr>
        <a:xfrm>
          <a:off x="3960935" y="8118963"/>
          <a:ext cx="773723" cy="4183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700" b="1">
              <a:latin typeface="Calibri" panose="020F0502020204030204" pitchFamily="34" charset="0"/>
            </a:rPr>
            <a:t>D8D4</a:t>
          </a:r>
        </a:p>
        <a:p>
          <a:pPr algn="ctr"/>
          <a:r>
            <a:rPr lang="en-CA" sz="700" b="1">
              <a:latin typeface="Calibri" panose="020F0502020204030204" pitchFamily="34" charset="0"/>
            </a:rPr>
            <a:t>RECEIVED?</a:t>
          </a:r>
        </a:p>
      </xdr:txBody>
    </xdr:sp>
    <xdr:clientData/>
  </xdr:twoCellAnchor>
  <xdr:twoCellAnchor>
    <xdr:from>
      <xdr:col>7</xdr:col>
      <xdr:colOff>400050</xdr:colOff>
      <xdr:row>16</xdr:row>
      <xdr:rowOff>202223</xdr:rowOff>
    </xdr:from>
    <xdr:to>
      <xdr:col>8</xdr:col>
      <xdr:colOff>26377</xdr:colOff>
      <xdr:row>18</xdr:row>
      <xdr:rowOff>77665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SpPr txBox="1"/>
      </xdr:nvSpPr>
      <xdr:spPr>
        <a:xfrm>
          <a:off x="6391275" y="8117498"/>
          <a:ext cx="778852" cy="4183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700" b="1">
              <a:latin typeface="Calibri" panose="020F0502020204030204" pitchFamily="34" charset="0"/>
            </a:rPr>
            <a:t>D8D4</a:t>
          </a:r>
        </a:p>
        <a:p>
          <a:pPr algn="ctr"/>
          <a:r>
            <a:rPr lang="en-CA" sz="700" b="1">
              <a:latin typeface="Calibri" panose="020F0502020204030204" pitchFamily="34" charset="0"/>
            </a:rPr>
            <a:t>RECEIVED?</a:t>
          </a:r>
        </a:p>
      </xdr:txBody>
    </xdr:sp>
    <xdr:clientData/>
  </xdr:twoCellAnchor>
  <xdr:twoCellAnchor>
    <xdr:from>
      <xdr:col>1</xdr:col>
      <xdr:colOff>1333501</xdr:colOff>
      <xdr:row>18</xdr:row>
      <xdr:rowOff>36634</xdr:rowOff>
    </xdr:from>
    <xdr:to>
      <xdr:col>1</xdr:col>
      <xdr:colOff>1553308</xdr:colOff>
      <xdr:row>18</xdr:row>
      <xdr:rowOff>249115</xdr:rowOff>
    </xdr:to>
    <xdr:sp macro="" textlink="">
      <xdr:nvSpPr>
        <xdr:cNvPr id="36" name="Rectangle 35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SpPr/>
      </xdr:nvSpPr>
      <xdr:spPr>
        <a:xfrm>
          <a:off x="1866901" y="8494834"/>
          <a:ext cx="219807" cy="212481"/>
        </a:xfrm>
        <a:prstGeom prst="rect">
          <a:avLst/>
        </a:prstGeom>
        <a:noFill/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</xdr:col>
      <xdr:colOff>1332034</xdr:colOff>
      <xdr:row>19</xdr:row>
      <xdr:rowOff>42497</xdr:rowOff>
    </xdr:from>
    <xdr:to>
      <xdr:col>1</xdr:col>
      <xdr:colOff>1551841</xdr:colOff>
      <xdr:row>19</xdr:row>
      <xdr:rowOff>254978</xdr:rowOff>
    </xdr:to>
    <xdr:sp macro="" textlink="">
      <xdr:nvSpPr>
        <xdr:cNvPr id="37" name="Rectangle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/>
      </xdr:nvSpPr>
      <xdr:spPr>
        <a:xfrm>
          <a:off x="1865434" y="8776922"/>
          <a:ext cx="219807" cy="212481"/>
        </a:xfrm>
        <a:prstGeom prst="rect">
          <a:avLst/>
        </a:prstGeom>
        <a:noFill/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</xdr:col>
      <xdr:colOff>1330567</xdr:colOff>
      <xdr:row>20</xdr:row>
      <xdr:rowOff>33706</xdr:rowOff>
    </xdr:from>
    <xdr:to>
      <xdr:col>1</xdr:col>
      <xdr:colOff>1550374</xdr:colOff>
      <xdr:row>20</xdr:row>
      <xdr:rowOff>246187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SpPr/>
      </xdr:nvSpPr>
      <xdr:spPr>
        <a:xfrm>
          <a:off x="1863967" y="9044356"/>
          <a:ext cx="219807" cy="212481"/>
        </a:xfrm>
        <a:prstGeom prst="rect">
          <a:avLst/>
        </a:prstGeom>
        <a:noFill/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</xdr:col>
      <xdr:colOff>1336427</xdr:colOff>
      <xdr:row>21</xdr:row>
      <xdr:rowOff>24915</xdr:rowOff>
    </xdr:from>
    <xdr:to>
      <xdr:col>1</xdr:col>
      <xdr:colOff>1556234</xdr:colOff>
      <xdr:row>21</xdr:row>
      <xdr:rowOff>237396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SpPr/>
      </xdr:nvSpPr>
      <xdr:spPr>
        <a:xfrm>
          <a:off x="1869827" y="9311790"/>
          <a:ext cx="219807" cy="212481"/>
        </a:xfrm>
        <a:prstGeom prst="rect">
          <a:avLst/>
        </a:prstGeom>
        <a:noFill/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</xdr:col>
      <xdr:colOff>1334960</xdr:colOff>
      <xdr:row>22</xdr:row>
      <xdr:rowOff>30778</xdr:rowOff>
    </xdr:from>
    <xdr:to>
      <xdr:col>1</xdr:col>
      <xdr:colOff>1554767</xdr:colOff>
      <xdr:row>22</xdr:row>
      <xdr:rowOff>243259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SpPr/>
      </xdr:nvSpPr>
      <xdr:spPr>
        <a:xfrm>
          <a:off x="1868360" y="9584353"/>
          <a:ext cx="219807" cy="212481"/>
        </a:xfrm>
        <a:prstGeom prst="rect">
          <a:avLst/>
        </a:prstGeom>
        <a:noFill/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4</xdr:col>
      <xdr:colOff>218342</xdr:colOff>
      <xdr:row>18</xdr:row>
      <xdr:rowOff>35169</xdr:rowOff>
    </xdr:from>
    <xdr:to>
      <xdr:col>4</xdr:col>
      <xdr:colOff>438149</xdr:colOff>
      <xdr:row>18</xdr:row>
      <xdr:rowOff>247650</xdr:rowOff>
    </xdr:to>
    <xdr:sp macro="" textlink="">
      <xdr:nvSpPr>
        <xdr:cNvPr id="41" name="Rectangle 40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/>
      </xdr:nvSpPr>
      <xdr:spPr>
        <a:xfrm>
          <a:off x="4237892" y="8493369"/>
          <a:ext cx="219807" cy="212481"/>
        </a:xfrm>
        <a:prstGeom prst="rect">
          <a:avLst/>
        </a:prstGeom>
        <a:noFill/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4</xdr:col>
      <xdr:colOff>216875</xdr:colOff>
      <xdr:row>19</xdr:row>
      <xdr:rowOff>41032</xdr:rowOff>
    </xdr:from>
    <xdr:to>
      <xdr:col>4</xdr:col>
      <xdr:colOff>436682</xdr:colOff>
      <xdr:row>19</xdr:row>
      <xdr:rowOff>253513</xdr:rowOff>
    </xdr:to>
    <xdr:sp macro="" textlink="">
      <xdr:nvSpPr>
        <xdr:cNvPr id="42" name="Rectangle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SpPr/>
      </xdr:nvSpPr>
      <xdr:spPr>
        <a:xfrm>
          <a:off x="4236425" y="8775457"/>
          <a:ext cx="219807" cy="212481"/>
        </a:xfrm>
        <a:prstGeom prst="rect">
          <a:avLst/>
        </a:prstGeom>
        <a:noFill/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4</xdr:col>
      <xdr:colOff>215408</xdr:colOff>
      <xdr:row>20</xdr:row>
      <xdr:rowOff>32241</xdr:rowOff>
    </xdr:from>
    <xdr:to>
      <xdr:col>4</xdr:col>
      <xdr:colOff>435215</xdr:colOff>
      <xdr:row>20</xdr:row>
      <xdr:rowOff>244722</xdr:rowOff>
    </xdr:to>
    <xdr:sp macro="" textlink="">
      <xdr:nvSpPr>
        <xdr:cNvPr id="43" name="Rectangle 42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SpPr/>
      </xdr:nvSpPr>
      <xdr:spPr>
        <a:xfrm>
          <a:off x="4234958" y="9042891"/>
          <a:ext cx="219807" cy="212481"/>
        </a:xfrm>
        <a:prstGeom prst="rect">
          <a:avLst/>
        </a:prstGeom>
        <a:noFill/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4</xdr:col>
      <xdr:colOff>221268</xdr:colOff>
      <xdr:row>21</xdr:row>
      <xdr:rowOff>23450</xdr:rowOff>
    </xdr:from>
    <xdr:to>
      <xdr:col>4</xdr:col>
      <xdr:colOff>441075</xdr:colOff>
      <xdr:row>21</xdr:row>
      <xdr:rowOff>235931</xdr:rowOff>
    </xdr:to>
    <xdr:sp macro="" textlink="">
      <xdr:nvSpPr>
        <xdr:cNvPr id="44" name="Rectangle 43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SpPr/>
      </xdr:nvSpPr>
      <xdr:spPr>
        <a:xfrm>
          <a:off x="4240818" y="9310325"/>
          <a:ext cx="219807" cy="212481"/>
        </a:xfrm>
        <a:prstGeom prst="rect">
          <a:avLst/>
        </a:prstGeom>
        <a:noFill/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4</xdr:col>
      <xdr:colOff>219801</xdr:colOff>
      <xdr:row>22</xdr:row>
      <xdr:rowOff>29313</xdr:rowOff>
    </xdr:from>
    <xdr:to>
      <xdr:col>4</xdr:col>
      <xdr:colOff>439608</xdr:colOff>
      <xdr:row>22</xdr:row>
      <xdr:rowOff>241794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SpPr/>
      </xdr:nvSpPr>
      <xdr:spPr>
        <a:xfrm>
          <a:off x="4239351" y="9582888"/>
          <a:ext cx="219807" cy="212481"/>
        </a:xfrm>
        <a:prstGeom prst="rect">
          <a:avLst/>
        </a:prstGeom>
        <a:noFill/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7</xdr:col>
      <xdr:colOff>671146</xdr:colOff>
      <xdr:row>18</xdr:row>
      <xdr:rowOff>33704</xdr:rowOff>
    </xdr:from>
    <xdr:to>
      <xdr:col>7</xdr:col>
      <xdr:colOff>890953</xdr:colOff>
      <xdr:row>18</xdr:row>
      <xdr:rowOff>246185</xdr:rowOff>
    </xdr:to>
    <xdr:sp macro="" textlink="">
      <xdr:nvSpPr>
        <xdr:cNvPr id="46" name="Rectangle 45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SpPr/>
      </xdr:nvSpPr>
      <xdr:spPr>
        <a:xfrm>
          <a:off x="6662371" y="8491904"/>
          <a:ext cx="219807" cy="212481"/>
        </a:xfrm>
        <a:prstGeom prst="rect">
          <a:avLst/>
        </a:prstGeom>
        <a:noFill/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7</xdr:col>
      <xdr:colOff>669679</xdr:colOff>
      <xdr:row>19</xdr:row>
      <xdr:rowOff>39567</xdr:rowOff>
    </xdr:from>
    <xdr:to>
      <xdr:col>7</xdr:col>
      <xdr:colOff>889486</xdr:colOff>
      <xdr:row>19</xdr:row>
      <xdr:rowOff>252048</xdr:rowOff>
    </xdr:to>
    <xdr:sp macro="" textlink="">
      <xdr:nvSpPr>
        <xdr:cNvPr id="47" name="Rectangle 46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SpPr/>
      </xdr:nvSpPr>
      <xdr:spPr>
        <a:xfrm>
          <a:off x="6660904" y="8773992"/>
          <a:ext cx="219807" cy="212481"/>
        </a:xfrm>
        <a:prstGeom prst="rect">
          <a:avLst/>
        </a:prstGeom>
        <a:noFill/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7</xdr:col>
      <xdr:colOff>668212</xdr:colOff>
      <xdr:row>20</xdr:row>
      <xdr:rowOff>30776</xdr:rowOff>
    </xdr:from>
    <xdr:to>
      <xdr:col>7</xdr:col>
      <xdr:colOff>888019</xdr:colOff>
      <xdr:row>20</xdr:row>
      <xdr:rowOff>243257</xdr:rowOff>
    </xdr:to>
    <xdr:sp macro="" textlink="">
      <xdr:nvSpPr>
        <xdr:cNvPr id="48" name="Rectangle 47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SpPr/>
      </xdr:nvSpPr>
      <xdr:spPr>
        <a:xfrm>
          <a:off x="6659437" y="9041426"/>
          <a:ext cx="219807" cy="212481"/>
        </a:xfrm>
        <a:prstGeom prst="rect">
          <a:avLst/>
        </a:prstGeom>
        <a:noFill/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7</xdr:col>
      <xdr:colOff>674072</xdr:colOff>
      <xdr:row>21</xdr:row>
      <xdr:rowOff>21985</xdr:rowOff>
    </xdr:from>
    <xdr:to>
      <xdr:col>7</xdr:col>
      <xdr:colOff>893879</xdr:colOff>
      <xdr:row>21</xdr:row>
      <xdr:rowOff>234466</xdr:rowOff>
    </xdr:to>
    <xdr:sp macro="" textlink="">
      <xdr:nvSpPr>
        <xdr:cNvPr id="49" name="Rectangle 48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SpPr/>
      </xdr:nvSpPr>
      <xdr:spPr>
        <a:xfrm>
          <a:off x="6665297" y="9308860"/>
          <a:ext cx="219807" cy="212481"/>
        </a:xfrm>
        <a:prstGeom prst="rect">
          <a:avLst/>
        </a:prstGeom>
        <a:noFill/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7</xdr:col>
      <xdr:colOff>672605</xdr:colOff>
      <xdr:row>22</xdr:row>
      <xdr:rowOff>27848</xdr:rowOff>
    </xdr:from>
    <xdr:to>
      <xdr:col>7</xdr:col>
      <xdr:colOff>892412</xdr:colOff>
      <xdr:row>22</xdr:row>
      <xdr:rowOff>240329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SpPr/>
      </xdr:nvSpPr>
      <xdr:spPr>
        <a:xfrm>
          <a:off x="6663830" y="9581423"/>
          <a:ext cx="219807" cy="212481"/>
        </a:xfrm>
        <a:prstGeom prst="rect">
          <a:avLst/>
        </a:prstGeom>
        <a:noFill/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361950</xdr:colOff>
          <xdr:row>8</xdr:row>
          <xdr:rowOff>209550</xdr:rowOff>
        </xdr:from>
        <xdr:to>
          <xdr:col>21</xdr:col>
          <xdr:colOff>374650</xdr:colOff>
          <xdr:row>9</xdr:row>
          <xdr:rowOff>241300</xdr:rowOff>
        </xdr:to>
        <xdr:sp macro="" textlink="">
          <xdr:nvSpPr>
            <xdr:cNvPr id="19463" name="Button 7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04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PULL BW SKIDS TO 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127000</xdr:colOff>
          <xdr:row>0</xdr:row>
          <xdr:rowOff>0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19464" name="Button 8" hidden="1">
              <a:extLst>
                <a:ext uri="{63B3BB69-23CF-44E3-9099-C40C66FF867C}">
                  <a14:compatExt spid="_x0000_s19464"/>
                </a:ext>
                <a:ext uri="{FF2B5EF4-FFF2-40B4-BE49-F238E27FC236}">
                  <a16:creationId xmlns:a16="http://schemas.microsoft.com/office/drawing/2014/main" id="{00000000-0008-0000-0400-00000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13</xdr:col>
          <xdr:colOff>12700</xdr:colOff>
          <xdr:row>2</xdr:row>
          <xdr:rowOff>0</xdr:rowOff>
        </xdr:to>
        <xdr:sp macro="" textlink="">
          <xdr:nvSpPr>
            <xdr:cNvPr id="19465" name="Button 9" hidden="1">
              <a:extLst>
                <a:ext uri="{63B3BB69-23CF-44E3-9099-C40C66FF867C}">
                  <a14:compatExt spid="_x0000_s19465"/>
                </a:ext>
                <a:ext uri="{FF2B5EF4-FFF2-40B4-BE49-F238E27FC236}">
                  <a16:creationId xmlns:a16="http://schemas.microsoft.com/office/drawing/2014/main" id="{00000000-0008-0000-0400-00000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Font 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381000</xdr:colOff>
          <xdr:row>10</xdr:row>
          <xdr:rowOff>127000</xdr:rowOff>
        </xdr:from>
        <xdr:to>
          <xdr:col>22</xdr:col>
          <xdr:colOff>146050</xdr:colOff>
          <xdr:row>11</xdr:row>
          <xdr:rowOff>374650</xdr:rowOff>
        </xdr:to>
        <xdr:sp macro="" textlink="">
          <xdr:nvSpPr>
            <xdr:cNvPr id="19476" name="Button 20" hidden="1">
              <a:extLst>
                <a:ext uri="{63B3BB69-23CF-44E3-9099-C40C66FF867C}">
                  <a14:compatExt spid="_x0000_s19476"/>
                </a:ext>
                <a:ext uri="{FF2B5EF4-FFF2-40B4-BE49-F238E27FC236}">
                  <a16:creationId xmlns:a16="http://schemas.microsoft.com/office/drawing/2014/main" id="{00000000-0008-0000-0400-00001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Mail and Reset Sheets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Users\mattruetz\Library\Containers\com.microsoft.Excel\Data\Documents\Desktop\AZ%20Schedule%20History\APR%2020%20-%2024%202020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My%20Documents\AZ%20Schedule%20History\APR%2020%20-%2024%2020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Elemental">
  <a:themeElements>
    <a:clrScheme name="Elemental">
      <a:dk1>
        <a:sysClr val="windowText" lastClr="000000"/>
      </a:dk1>
      <a:lt1>
        <a:sysClr val="window" lastClr="FFFFFF"/>
      </a:lt1>
      <a:dk2>
        <a:srgbClr val="242852"/>
      </a:dk2>
      <a:lt2>
        <a:srgbClr val="ACCBF9"/>
      </a:lt2>
      <a:accent1>
        <a:srgbClr val="629DD1"/>
      </a:accent1>
      <a:accent2>
        <a:srgbClr val="297FD5"/>
      </a:accent2>
      <a:accent3>
        <a:srgbClr val="7F8FA9"/>
      </a:accent3>
      <a:accent4>
        <a:srgbClr val="4A66AC"/>
      </a:accent4>
      <a:accent5>
        <a:srgbClr val="5AA2AE"/>
      </a:accent5>
      <a:accent6>
        <a:srgbClr val="9D90A0"/>
      </a:accent6>
      <a:hlink>
        <a:srgbClr val="9454C3"/>
      </a:hlink>
      <a:folHlink>
        <a:srgbClr val="3EBBF0"/>
      </a:folHlink>
    </a:clrScheme>
    <a:fontScheme name="Elemental">
      <a:majorFont>
        <a:latin typeface="Palatino Linotype"/>
        <a:ea typeface=""/>
        <a:cs typeface=""/>
        <a:font script="Jpan" typeface="HGS明朝E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Browalli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Palatino Linotype"/>
        <a:ea typeface=""/>
        <a:cs typeface=""/>
        <a:font script="Jpan" typeface="HGS明朝E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Browalli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Elemental">
      <a:fillStyleLst>
        <a:solidFill>
          <a:schemeClr val="phClr"/>
        </a:solidFill>
        <a:gradFill rotWithShape="1">
          <a:gsLst>
            <a:gs pos="0">
              <a:schemeClr val="phClr">
                <a:tint val="90000"/>
              </a:schemeClr>
            </a:gs>
            <a:gs pos="48000">
              <a:schemeClr val="phClr">
                <a:tint val="54000"/>
                <a:satMod val="140000"/>
              </a:schemeClr>
            </a:gs>
            <a:gs pos="100000">
              <a:schemeClr val="phClr">
                <a:tint val="24000"/>
                <a:satMod val="260000"/>
              </a:schemeClr>
            </a:gs>
          </a:gsLst>
          <a:lin ang="1620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48000"/>
                <a:satMod val="180000"/>
                <a:lumMod val="94000"/>
              </a:schemeClr>
            </a:gs>
            <a:gs pos="100000">
              <a:schemeClr val="phClr">
                <a:shade val="48000"/>
                <a:satMod val="180000"/>
                <a:lumMod val="94000"/>
              </a:schemeClr>
            </a:gs>
          </a:gsLst>
          <a:lin ang="4140000" scaled="1"/>
        </a:gradFill>
      </a:fillStyleLst>
      <a:lnStyleLst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28575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12700" dir="5400000" sx="102000" sy="102000" rotWithShape="0">
              <a:srgbClr val="000000">
                <a:alpha val="32000"/>
              </a:srgbClr>
            </a:outerShdw>
          </a:effectLst>
        </a:effectStyle>
        <a:effectStyle>
          <a:effectLst>
            <a:outerShdw blurRad="76200" dist="38100" dir="54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glow" dir="tl">
              <a:rot lat="0" lon="0" rev="19800000"/>
            </a:lightRig>
          </a:scene3d>
          <a:sp3d prstMaterial="metal">
            <a:bevelT w="38100" h="38100"/>
          </a:sp3d>
        </a:effectStyle>
        <a:effectStyle>
          <a:effectLst>
            <a:outerShdw blurRad="114300" dist="114300" dir="5400000" rotWithShape="0">
              <a:srgbClr val="000000">
                <a:alpha val="70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9800000"/>
            </a:lightRig>
          </a:scene3d>
          <a:sp3d prstMaterial="plastic">
            <a:bevelT w="50800" h="508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5000"/>
              </a:schemeClr>
            </a:gs>
            <a:gs pos="100000">
              <a:schemeClr val="phClr">
                <a:shade val="40000"/>
                <a:satMod val="180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14000"/>
                <a:satMod val="280000"/>
              </a:schemeClr>
              <a:schemeClr val="phClr">
                <a:tint val="60000"/>
                <a:satMod val="120000"/>
              </a:schemeClr>
            </a:duotone>
          </a:blip>
          <a:stretch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2.emf"/><Relationship Id="rId15" Type="http://schemas.openxmlformats.org/officeDocument/2006/relationships/ctrlProp" Target="../ctrlProps/ctrlProp10.xml"/><Relationship Id="rId10" Type="http://schemas.openxmlformats.org/officeDocument/2006/relationships/ctrlProp" Target="../ctrlProps/ctrlProp5.xml"/><Relationship Id="rId4" Type="http://schemas.openxmlformats.org/officeDocument/2006/relationships/oleObject" Target="../embeddings/Microsoft_Word_97_-_2003_Document.doc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image" Target="../media/image3.emf"/><Relationship Id="rId10" Type="http://schemas.openxmlformats.org/officeDocument/2006/relationships/ctrlProp" Target="../ctrlProps/ctrlProp15.xml"/><Relationship Id="rId4" Type="http://schemas.openxmlformats.org/officeDocument/2006/relationships/oleObject" Target="../embeddings/Microsoft_Word_97_-_2003_Document1.doc"/><Relationship Id="rId9" Type="http://schemas.openxmlformats.org/officeDocument/2006/relationships/ctrlProp" Target="../ctrlProps/ctrlProp1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13" Type="http://schemas.openxmlformats.org/officeDocument/2006/relationships/ctrlProp" Target="../ctrlProps/ctrlProp24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8.xml"/><Relationship Id="rId12" Type="http://schemas.openxmlformats.org/officeDocument/2006/relationships/ctrlProp" Target="../ctrlProps/ctrlProp2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7.xml"/><Relationship Id="rId11" Type="http://schemas.openxmlformats.org/officeDocument/2006/relationships/ctrlProp" Target="../ctrlProps/ctrlProp22.xml"/><Relationship Id="rId5" Type="http://schemas.openxmlformats.org/officeDocument/2006/relationships/image" Target="../media/image3.emf"/><Relationship Id="rId10" Type="http://schemas.openxmlformats.org/officeDocument/2006/relationships/ctrlProp" Target="../ctrlProps/ctrlProp21.xml"/><Relationship Id="rId4" Type="http://schemas.openxmlformats.org/officeDocument/2006/relationships/oleObject" Target="../embeddings/Microsoft_Word_97_-_2003_Document2.doc"/><Relationship Id="rId9" Type="http://schemas.openxmlformats.org/officeDocument/2006/relationships/ctrlProp" Target="../ctrlProps/ctrlProp2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13" Type="http://schemas.openxmlformats.org/officeDocument/2006/relationships/ctrlProp" Target="../ctrlProps/ctrlProp32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6.xml"/><Relationship Id="rId12" Type="http://schemas.openxmlformats.org/officeDocument/2006/relationships/ctrlProp" Target="../ctrlProps/ctrlProp3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5.xml"/><Relationship Id="rId11" Type="http://schemas.openxmlformats.org/officeDocument/2006/relationships/ctrlProp" Target="../ctrlProps/ctrlProp30.xml"/><Relationship Id="rId5" Type="http://schemas.openxmlformats.org/officeDocument/2006/relationships/image" Target="../media/image4.emf"/><Relationship Id="rId10" Type="http://schemas.openxmlformats.org/officeDocument/2006/relationships/ctrlProp" Target="../ctrlProps/ctrlProp29.xml"/><Relationship Id="rId4" Type="http://schemas.openxmlformats.org/officeDocument/2006/relationships/oleObject" Target="../embeddings/Microsoft_Word_97_-_2003_Document3.doc"/><Relationship Id="rId9" Type="http://schemas.openxmlformats.org/officeDocument/2006/relationships/ctrlProp" Target="../ctrlProps/ctrlProp2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13" Type="http://schemas.openxmlformats.org/officeDocument/2006/relationships/ctrlProp" Target="../ctrlProps/ctrlProp40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34.xml"/><Relationship Id="rId12" Type="http://schemas.openxmlformats.org/officeDocument/2006/relationships/ctrlProp" Target="../ctrlProps/ctrlProp3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3.xml"/><Relationship Id="rId11" Type="http://schemas.openxmlformats.org/officeDocument/2006/relationships/ctrlProp" Target="../ctrlProps/ctrlProp38.xml"/><Relationship Id="rId5" Type="http://schemas.openxmlformats.org/officeDocument/2006/relationships/image" Target="../media/image4.emf"/><Relationship Id="rId10" Type="http://schemas.openxmlformats.org/officeDocument/2006/relationships/ctrlProp" Target="../ctrlProps/ctrlProp37.xml"/><Relationship Id="rId4" Type="http://schemas.openxmlformats.org/officeDocument/2006/relationships/oleObject" Target="../embeddings/Microsoft_Word_97_-_2003_Document4.doc"/><Relationship Id="rId9" Type="http://schemas.openxmlformats.org/officeDocument/2006/relationships/ctrlProp" Target="../ctrlProps/ctrlProp3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Z25"/>
  <sheetViews>
    <sheetView tabSelected="1" zoomScale="70" zoomScaleNormal="70" workbookViewId="0">
      <selection activeCell="W9" sqref="W9"/>
    </sheetView>
  </sheetViews>
  <sheetFormatPr defaultColWidth="9.1796875" defaultRowHeight="13" x14ac:dyDescent="0.3"/>
  <cols>
    <col min="1" max="1" width="8" style="1" customWidth="1"/>
    <col min="2" max="3" width="25.7265625" style="1" customWidth="1"/>
    <col min="4" max="4" width="0.81640625" style="1" customWidth="1"/>
    <col min="5" max="5" width="8" style="1" customWidth="1"/>
    <col min="6" max="6" width="4.453125" style="1" customWidth="1"/>
    <col min="7" max="7" width="17.1796875" style="1" customWidth="1"/>
    <col min="8" max="8" width="17.26953125" style="1" customWidth="1"/>
    <col min="9" max="9" width="2" style="1" customWidth="1"/>
    <col min="10" max="10" width="9.1796875" style="1"/>
    <col min="11" max="11" width="9.453125" style="1" bestFit="1" customWidth="1"/>
    <col min="12" max="15" width="9.1796875" style="1"/>
    <col min="16" max="17" width="0" style="1" hidden="1" customWidth="1"/>
    <col min="18" max="18" width="11.81640625" style="1" hidden="1" customWidth="1"/>
    <col min="19" max="22" width="9.1796875" style="1"/>
    <col min="23" max="23" width="35.453125" style="1" customWidth="1"/>
    <col min="24" max="24" width="41.453125" style="1" customWidth="1"/>
    <col min="25" max="16384" width="9.1796875" style="1"/>
  </cols>
  <sheetData>
    <row r="1" spans="1:26" ht="32.25" customHeight="1" x14ac:dyDescent="0.3">
      <c r="A1" s="77" t="s">
        <v>10</v>
      </c>
      <c r="B1" s="78"/>
      <c r="C1" s="78"/>
      <c r="D1" s="78"/>
      <c r="E1" s="78"/>
      <c r="F1" s="78"/>
      <c r="G1" s="78"/>
      <c r="H1" s="79"/>
    </row>
    <row r="2" spans="1:26" x14ac:dyDescent="0.3">
      <c r="A2" s="4"/>
      <c r="B2" s="80"/>
      <c r="C2" s="81"/>
      <c r="D2" s="3"/>
      <c r="E2" s="3"/>
      <c r="F2" s="3"/>
      <c r="G2" s="3"/>
      <c r="H2" s="5"/>
    </row>
    <row r="3" spans="1:26" ht="3" customHeight="1" x14ac:dyDescent="0.3">
      <c r="A3" s="4"/>
      <c r="B3" s="84"/>
      <c r="C3" s="85"/>
      <c r="D3" s="86"/>
      <c r="E3" s="3"/>
      <c r="F3" s="3"/>
      <c r="G3" s="3"/>
      <c r="H3" s="5"/>
    </row>
    <row r="4" spans="1:26" ht="44.25" customHeight="1" thickBot="1" x14ac:dyDescent="0.35">
      <c r="A4" s="4"/>
      <c r="B4" s="60"/>
      <c r="C4" s="58"/>
      <c r="D4" s="2"/>
      <c r="E4" s="83"/>
      <c r="F4" s="7"/>
      <c r="G4" s="6" t="s">
        <v>2</v>
      </c>
      <c r="H4" s="41"/>
      <c r="W4" s="36" t="s">
        <v>25</v>
      </c>
    </row>
    <row r="5" spans="1:26" ht="44.25" customHeight="1" thickBot="1" x14ac:dyDescent="0.35">
      <c r="A5" s="4"/>
      <c r="B5" s="60"/>
      <c r="C5" s="60"/>
      <c r="D5" s="2"/>
      <c r="E5" s="83"/>
      <c r="F5" s="7"/>
      <c r="G5" s="6" t="s">
        <v>1</v>
      </c>
      <c r="H5" s="42"/>
      <c r="J5" s="44"/>
      <c r="K5" s="44" t="s">
        <v>13</v>
      </c>
      <c r="L5" s="11" t="s">
        <v>15</v>
      </c>
      <c r="M5" s="11"/>
      <c r="N5" s="12"/>
      <c r="O5" s="12" t="s">
        <v>16</v>
      </c>
      <c r="P5" s="12" t="s">
        <v>17</v>
      </c>
      <c r="Q5" s="12" t="s">
        <v>18</v>
      </c>
      <c r="R5" s="12" t="s">
        <v>19</v>
      </c>
      <c r="W5" s="34" t="s">
        <v>22</v>
      </c>
      <c r="X5" s="33"/>
    </row>
    <row r="6" spans="1:26" ht="44.25" customHeight="1" thickBot="1" x14ac:dyDescent="0.55000000000000004">
      <c r="A6" s="4"/>
      <c r="B6" s="60"/>
      <c r="C6" s="60"/>
      <c r="D6" s="2"/>
      <c r="E6" s="83"/>
      <c r="F6" s="7"/>
      <c r="G6" s="6" t="s">
        <v>0</v>
      </c>
      <c r="H6" s="43"/>
      <c r="J6" s="70"/>
      <c r="K6" s="65"/>
      <c r="L6" s="62"/>
      <c r="M6" s="63"/>
      <c r="N6" s="63"/>
      <c r="O6" s="15">
        <f t="shared" ref="O6:O12" si="0">K6/7</f>
        <v>0</v>
      </c>
      <c r="P6" s="14">
        <f>ROUND(O6,0)</f>
        <v>0</v>
      </c>
      <c r="Q6" s="14">
        <f>P6*7</f>
        <v>0</v>
      </c>
      <c r="R6" s="13" t="e">
        <f>#REF!-Q6</f>
        <v>#REF!</v>
      </c>
      <c r="W6" s="34" t="s">
        <v>23</v>
      </c>
      <c r="X6" s="33"/>
    </row>
    <row r="7" spans="1:26" ht="44.25" customHeight="1" x14ac:dyDescent="0.5">
      <c r="A7" s="4"/>
      <c r="B7" s="60"/>
      <c r="C7" s="60"/>
      <c r="D7" s="2"/>
      <c r="E7" s="83"/>
      <c r="F7" s="7"/>
      <c r="G7" s="6"/>
      <c r="H7" s="29"/>
      <c r="J7" s="70"/>
      <c r="K7" s="64"/>
      <c r="L7" s="62"/>
      <c r="M7" s="63"/>
      <c r="N7" s="63"/>
      <c r="O7" s="15">
        <f t="shared" si="0"/>
        <v>0</v>
      </c>
      <c r="P7" s="14"/>
      <c r="Q7" s="14"/>
      <c r="R7" s="13"/>
      <c r="W7" s="34" t="s">
        <v>24</v>
      </c>
      <c r="X7" s="33"/>
    </row>
    <row r="8" spans="1:26" ht="44.25" customHeight="1" x14ac:dyDescent="0.5">
      <c r="A8" s="4"/>
      <c r="B8" s="60"/>
      <c r="C8" s="60"/>
      <c r="D8" s="2"/>
      <c r="E8" s="83"/>
      <c r="F8" s="8"/>
      <c r="G8" s="87" t="s">
        <v>3</v>
      </c>
      <c r="H8" s="88"/>
      <c r="J8" s="70"/>
      <c r="K8" s="64"/>
      <c r="L8" s="62"/>
      <c r="M8" s="63"/>
      <c r="N8" s="63"/>
      <c r="O8" s="15">
        <f t="shared" si="0"/>
        <v>0</v>
      </c>
      <c r="P8" s="14">
        <f t="shared" ref="P8:P15" si="1">ROUND(O8,0)</f>
        <v>0</v>
      </c>
      <c r="Q8" s="14">
        <f t="shared" ref="Q8:Q15" si="2">P8*7</f>
        <v>0</v>
      </c>
      <c r="R8" s="13" t="e">
        <f>#REF!-Q8</f>
        <v>#REF!</v>
      </c>
      <c r="U8" s="30"/>
    </row>
    <row r="9" spans="1:26" ht="44.25" customHeight="1" x14ac:dyDescent="0.5">
      <c r="A9" s="4"/>
      <c r="B9" s="60"/>
      <c r="C9" s="60"/>
      <c r="D9" s="2"/>
      <c r="E9" s="83"/>
      <c r="F9" s="7"/>
      <c r="G9" s="45" t="s">
        <v>6</v>
      </c>
      <c r="H9" s="17" t="s">
        <v>4</v>
      </c>
      <c r="J9" s="70"/>
      <c r="K9" s="64"/>
      <c r="L9" s="62"/>
      <c r="M9" s="63"/>
      <c r="N9" s="63"/>
      <c r="O9" s="15">
        <f t="shared" si="0"/>
        <v>0</v>
      </c>
      <c r="P9" s="14">
        <f t="shared" si="1"/>
        <v>0</v>
      </c>
      <c r="Q9" s="14">
        <f t="shared" si="2"/>
        <v>0</v>
      </c>
      <c r="R9" s="13" t="e">
        <f>#REF!-Q9</f>
        <v>#REF!</v>
      </c>
      <c r="U9" s="31"/>
    </row>
    <row r="10" spans="1:26" ht="44.25" customHeight="1" x14ac:dyDescent="0.5">
      <c r="A10" s="4"/>
      <c r="B10" s="60"/>
      <c r="C10" s="60"/>
      <c r="D10" s="2"/>
      <c r="E10" s="3"/>
      <c r="F10" s="3"/>
      <c r="G10" s="16" t="s">
        <v>5</v>
      </c>
      <c r="H10" s="45" t="s">
        <v>20</v>
      </c>
      <c r="J10" s="70"/>
      <c r="K10" s="64"/>
      <c r="L10" s="62"/>
      <c r="M10" s="63"/>
      <c r="N10" s="63"/>
      <c r="O10" s="15">
        <f t="shared" si="0"/>
        <v>0</v>
      </c>
      <c r="P10" s="14">
        <f t="shared" si="1"/>
        <v>0</v>
      </c>
      <c r="Q10" s="14">
        <f t="shared" si="2"/>
        <v>0</v>
      </c>
      <c r="R10" s="13" t="e">
        <f>#REF!-Q10</f>
        <v>#REF!</v>
      </c>
      <c r="U10" s="30"/>
    </row>
    <row r="11" spans="1:26" ht="44.25" customHeight="1" x14ac:dyDescent="0.5">
      <c r="A11" s="4"/>
      <c r="B11" s="60"/>
      <c r="C11" s="60"/>
      <c r="D11" s="2"/>
      <c r="E11" s="3"/>
      <c r="F11" s="3"/>
      <c r="G11" s="82" t="s">
        <v>7</v>
      </c>
      <c r="H11" s="82"/>
      <c r="J11" s="70"/>
      <c r="K11" s="64"/>
      <c r="L11" s="62"/>
      <c r="M11" s="63"/>
      <c r="N11" s="63"/>
      <c r="O11" s="15">
        <f t="shared" si="0"/>
        <v>0</v>
      </c>
      <c r="P11" s="14">
        <f t="shared" si="1"/>
        <v>0</v>
      </c>
      <c r="Q11" s="14">
        <f t="shared" si="2"/>
        <v>0</v>
      </c>
      <c r="R11" s="13" t="e">
        <f>#REF!-Q11</f>
        <v>#REF!</v>
      </c>
      <c r="U11" s="32"/>
    </row>
    <row r="12" spans="1:26" ht="44.25" customHeight="1" x14ac:dyDescent="0.5">
      <c r="A12" s="4"/>
      <c r="B12" s="60"/>
      <c r="C12" s="60"/>
      <c r="D12" s="2"/>
      <c r="E12" s="3"/>
      <c r="F12" s="3"/>
      <c r="G12" s="16" t="s">
        <v>8</v>
      </c>
      <c r="H12" s="45" t="s">
        <v>9</v>
      </c>
      <c r="J12" s="63"/>
      <c r="K12" s="64"/>
      <c r="L12" s="62"/>
      <c r="M12" s="63"/>
      <c r="N12" s="63"/>
      <c r="O12" s="15">
        <f t="shared" si="0"/>
        <v>0</v>
      </c>
      <c r="P12" s="14">
        <f t="shared" si="1"/>
        <v>0</v>
      </c>
      <c r="Q12" s="14">
        <f t="shared" si="2"/>
        <v>0</v>
      </c>
      <c r="R12" s="13" t="e">
        <f>#REF!-Q12</f>
        <v>#REF!</v>
      </c>
      <c r="U12" s="30"/>
      <c r="Y12" s="30"/>
      <c r="Z12" s="39"/>
    </row>
    <row r="13" spans="1:26" ht="44.25" customHeight="1" x14ac:dyDescent="0.5">
      <c r="A13" s="4"/>
      <c r="B13" s="61"/>
      <c r="C13" s="60"/>
      <c r="D13" s="2"/>
      <c r="E13" s="3"/>
      <c r="F13" s="3"/>
      <c r="G13" s="89" t="s">
        <v>11</v>
      </c>
      <c r="H13" s="89"/>
      <c r="J13" s="63"/>
      <c r="K13" s="64"/>
      <c r="L13" s="62"/>
      <c r="M13" s="63"/>
      <c r="N13" s="63"/>
      <c r="O13" s="15">
        <f>K13/7</f>
        <v>0</v>
      </c>
      <c r="P13" s="14">
        <f t="shared" si="1"/>
        <v>0</v>
      </c>
      <c r="Q13" s="14">
        <f t="shared" si="2"/>
        <v>0</v>
      </c>
      <c r="R13" s="13">
        <f>K12-Q13</f>
        <v>0</v>
      </c>
      <c r="U13" s="30"/>
    </row>
    <row r="14" spans="1:26" ht="44.25" customHeight="1" x14ac:dyDescent="0.5">
      <c r="A14" s="4"/>
      <c r="B14" s="58"/>
      <c r="C14" s="58"/>
      <c r="D14" s="2"/>
      <c r="E14" s="3"/>
      <c r="F14" s="3"/>
      <c r="G14" s="90" t="s">
        <v>12</v>
      </c>
      <c r="H14" s="90"/>
      <c r="J14" s="63"/>
      <c r="K14" s="64"/>
      <c r="L14" s="62"/>
      <c r="M14" s="63"/>
      <c r="N14" s="63"/>
      <c r="O14" s="15">
        <f>K14/7</f>
        <v>0</v>
      </c>
      <c r="P14" s="14">
        <f t="shared" si="1"/>
        <v>0</v>
      </c>
      <c r="Q14" s="14">
        <f t="shared" si="2"/>
        <v>0</v>
      </c>
      <c r="R14" s="13">
        <f>K13-Q14</f>
        <v>0</v>
      </c>
      <c r="U14" s="30"/>
    </row>
    <row r="15" spans="1:26" ht="44.25" customHeight="1" x14ac:dyDescent="0.5">
      <c r="A15" s="4"/>
      <c r="B15" s="58"/>
      <c r="C15" s="59"/>
      <c r="D15" s="2"/>
      <c r="E15" s="3"/>
      <c r="F15" s="3"/>
      <c r="G15" s="91" t="s">
        <v>14</v>
      </c>
      <c r="H15" s="91"/>
      <c r="J15" s="63"/>
      <c r="K15" s="65"/>
      <c r="L15" s="66"/>
      <c r="M15" s="63"/>
      <c r="N15" s="63"/>
      <c r="O15" s="15">
        <f>K15/7</f>
        <v>0</v>
      </c>
      <c r="P15" s="14">
        <f t="shared" si="1"/>
        <v>0</v>
      </c>
      <c r="Q15" s="14">
        <f t="shared" si="2"/>
        <v>0</v>
      </c>
      <c r="R15" s="13">
        <f>K15-Q15</f>
        <v>0</v>
      </c>
      <c r="U15" s="30"/>
    </row>
    <row r="16" spans="1:26" ht="44.25" customHeight="1" x14ac:dyDescent="0.5">
      <c r="A16" s="4"/>
      <c r="B16" s="58"/>
      <c r="C16" s="57"/>
      <c r="D16" s="2"/>
      <c r="E16" s="3"/>
      <c r="F16" s="3"/>
      <c r="G16" s="91" t="s">
        <v>14</v>
      </c>
      <c r="H16" s="91"/>
      <c r="J16" s="63"/>
      <c r="K16" s="67"/>
      <c r="L16" s="68"/>
      <c r="M16" s="63"/>
      <c r="N16" s="63"/>
      <c r="O16" s="15">
        <f>K16/7</f>
        <v>0</v>
      </c>
      <c r="P16" s="14">
        <f>ROUND(O16,0)</f>
        <v>0</v>
      </c>
      <c r="Q16" s="14">
        <f>P16*7</f>
        <v>0</v>
      </c>
      <c r="R16" s="13">
        <f>K16-Q16</f>
        <v>0</v>
      </c>
      <c r="U16" s="30"/>
      <c r="X16" s="38"/>
    </row>
    <row r="17" spans="1:24" ht="21" customHeight="1" x14ac:dyDescent="0.5">
      <c r="A17" s="92"/>
      <c r="B17" s="93"/>
      <c r="C17" s="93"/>
      <c r="D17" s="93"/>
      <c r="E17" s="93"/>
      <c r="F17" s="93"/>
      <c r="G17" s="93"/>
      <c r="H17" s="93"/>
      <c r="J17" s="63"/>
      <c r="K17" s="67"/>
      <c r="L17" s="63"/>
      <c r="M17" s="63"/>
      <c r="N17" s="63"/>
      <c r="O17" s="15">
        <f t="shared" ref="O17:O21" si="3">K17/7</f>
        <v>0</v>
      </c>
      <c r="U17" s="30"/>
      <c r="X17" s="38"/>
    </row>
    <row r="18" spans="1:24" ht="21.75" customHeight="1" x14ac:dyDescent="0.5">
      <c r="A18" s="9"/>
      <c r="B18" s="10" t="s">
        <v>21</v>
      </c>
      <c r="C18" s="10">
        <v>4056</v>
      </c>
      <c r="D18" s="10"/>
      <c r="E18" s="10"/>
      <c r="F18" s="10"/>
      <c r="G18" s="25"/>
      <c r="H18" s="26"/>
      <c r="J18" s="63"/>
      <c r="K18" s="64"/>
      <c r="L18" s="63"/>
      <c r="M18" s="63"/>
      <c r="N18" s="63"/>
      <c r="O18" s="15">
        <f t="shared" si="3"/>
        <v>0</v>
      </c>
      <c r="X18" s="38"/>
    </row>
    <row r="19" spans="1:24" ht="21.75" customHeight="1" x14ac:dyDescent="0.5">
      <c r="A19" s="4"/>
      <c r="B19" s="3"/>
      <c r="C19" s="3"/>
      <c r="D19" s="3"/>
      <c r="E19" s="3"/>
      <c r="F19" s="3"/>
      <c r="G19" s="3"/>
      <c r="H19" s="5"/>
      <c r="J19" s="63"/>
      <c r="K19" s="64"/>
      <c r="L19" s="66"/>
      <c r="M19" s="63"/>
      <c r="N19" s="63"/>
      <c r="O19" s="15">
        <f t="shared" si="3"/>
        <v>0</v>
      </c>
      <c r="X19" s="38"/>
    </row>
    <row r="20" spans="1:24" ht="21.75" customHeight="1" x14ac:dyDescent="0.5">
      <c r="A20" s="4"/>
      <c r="B20" s="3"/>
      <c r="C20" s="3"/>
      <c r="D20" s="3"/>
      <c r="E20" s="3"/>
      <c r="F20" s="3"/>
      <c r="G20" s="19"/>
      <c r="H20" s="18"/>
      <c r="J20" s="63"/>
      <c r="K20" s="64"/>
      <c r="L20" s="66"/>
      <c r="M20" s="63"/>
      <c r="N20" s="63"/>
      <c r="O20" s="15">
        <f t="shared" si="3"/>
        <v>0</v>
      </c>
      <c r="X20" s="38"/>
    </row>
    <row r="21" spans="1:24" ht="21.75" customHeight="1" x14ac:dyDescent="0.5">
      <c r="A21" s="20"/>
      <c r="B21" s="23"/>
      <c r="C21" s="23"/>
      <c r="D21" s="23"/>
      <c r="E21" s="23"/>
      <c r="F21" s="23"/>
      <c r="G21" s="23"/>
      <c r="H21" s="21"/>
      <c r="J21" s="63"/>
      <c r="K21" s="69"/>
      <c r="L21" s="66"/>
      <c r="M21" s="63"/>
      <c r="N21" s="63"/>
      <c r="O21" s="15">
        <f t="shared" si="3"/>
        <v>0</v>
      </c>
    </row>
    <row r="22" spans="1:24" ht="21" customHeight="1" x14ac:dyDescent="0.3">
      <c r="A22" s="20"/>
      <c r="B22" s="23"/>
      <c r="C22" s="23"/>
      <c r="D22" s="23"/>
      <c r="E22" s="23"/>
      <c r="F22" s="23"/>
      <c r="G22" s="23"/>
      <c r="H22" s="21"/>
    </row>
    <row r="23" spans="1:24" ht="21" customHeight="1" x14ac:dyDescent="0.3">
      <c r="A23" s="27"/>
      <c r="B23" s="28"/>
      <c r="C23" s="28"/>
      <c r="D23" s="28"/>
      <c r="E23" s="28"/>
      <c r="F23" s="28"/>
      <c r="G23" s="24"/>
      <c r="H23" s="22"/>
    </row>
    <row r="24" spans="1:24" ht="21" customHeight="1" x14ac:dyDescent="0.3">
      <c r="A24" s="71"/>
      <c r="B24" s="72"/>
      <c r="C24" s="72"/>
      <c r="D24" s="72"/>
      <c r="E24" s="72"/>
      <c r="F24" s="72"/>
      <c r="G24" s="72"/>
      <c r="H24" s="73"/>
    </row>
    <row r="25" spans="1:24" ht="21" customHeight="1" x14ac:dyDescent="0.3">
      <c r="A25" s="74"/>
      <c r="B25" s="75"/>
      <c r="C25" s="75"/>
      <c r="D25" s="75"/>
      <c r="E25" s="75"/>
      <c r="F25" s="75"/>
      <c r="G25" s="75"/>
      <c r="H25" s="76"/>
    </row>
  </sheetData>
  <mergeCells count="13">
    <mergeCell ref="A24:H24"/>
    <mergeCell ref="A25:H25"/>
    <mergeCell ref="A1:H1"/>
    <mergeCell ref="B2:C2"/>
    <mergeCell ref="G11:H11"/>
    <mergeCell ref="E4:E9"/>
    <mergeCell ref="B3:D3"/>
    <mergeCell ref="G8:H8"/>
    <mergeCell ref="G13:H13"/>
    <mergeCell ref="G14:H14"/>
    <mergeCell ref="G15:H15"/>
    <mergeCell ref="G16:H16"/>
    <mergeCell ref="A17:H17"/>
  </mergeCells>
  <phoneticPr fontId="7" type="noConversion"/>
  <printOptions horizontalCentered="1"/>
  <pageMargins left="0" right="0" top="0" bottom="0" header="0.31496062992125984" footer="0.31496062992125984"/>
  <pageSetup scale="97" fitToWidth="2" fitToHeight="2" orientation="portrait" r:id="rId1"/>
  <headerFooter alignWithMargins="0"/>
  <rowBreaks count="1" manualBreakCount="1">
    <brk id="25" max="7" man="1"/>
  </rowBreaks>
  <drawing r:id="rId2"/>
  <legacyDrawing r:id="rId3"/>
  <oleObjects>
    <mc:AlternateContent xmlns:mc="http://schemas.openxmlformats.org/markup-compatibility/2006">
      <mc:Choice Requires="x14">
        <oleObject progId="Word.Document.8" shapeId="5125" r:id="rId4">
          <objectPr defaultSize="0" autoPict="0" r:id="rId5">
            <anchor moveWithCells="1">
              <from>
                <xdr:col>0</xdr:col>
                <xdr:colOff>31750</xdr:colOff>
                <xdr:row>24</xdr:row>
                <xdr:rowOff>228600</xdr:rowOff>
              </from>
              <to>
                <xdr:col>7</xdr:col>
                <xdr:colOff>1060450</xdr:colOff>
                <xdr:row>85</xdr:row>
                <xdr:rowOff>152400</xdr:rowOff>
              </to>
            </anchor>
          </objectPr>
        </oleObject>
      </mc:Choice>
      <mc:Fallback>
        <oleObject progId="Word.Document.8" shapeId="5125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_xludf.Clear">
                <anchor moveWithCells="1" sizeWithCells="1">
                  <from>
                    <xdr:col>8</xdr:col>
                    <xdr:colOff>127000</xdr:colOff>
                    <xdr:row>0</xdr:row>
                    <xdr:rowOff>0</xdr:rowOff>
                  </from>
                  <to>
                    <xdr:col>11</xdr:col>
                    <xdr:colOff>12700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7" name="Button 7">
              <controlPr defaultSize="0" print="0" autoFill="0" autoPict="0" macro="[0]!_xludf.Font">
                <anchor moveWithCells="1" sizeWithCells="1">
                  <from>
                    <xdr:col>11</xdr:col>
                    <xdr:colOff>12700</xdr:colOff>
                    <xdr:row>0</xdr:row>
                    <xdr:rowOff>0</xdr:rowOff>
                  </from>
                  <to>
                    <xdr:col>13</xdr:col>
                    <xdr:colOff>19050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8" name="Button 8">
              <controlPr defaultSize="0" print="0" autoFill="0" autoPict="0" macro="[0]!BWClear">
                <anchor moveWithCells="1" sizeWithCells="1">
                  <from>
                    <xdr:col>13</xdr:col>
                    <xdr:colOff>19050</xdr:colOff>
                    <xdr:row>0</xdr:row>
                    <xdr:rowOff>0</xdr:rowOff>
                  </from>
                  <to>
                    <xdr:col>18</xdr:col>
                    <xdr:colOff>184150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9" name="Button 9">
              <controlPr defaultSize="0" print="0" autoFill="0" autoPict="0" macro="[0]!BWAdd">
                <anchor moveWithCells="1" sizeWithCells="1">
                  <from>
                    <xdr:col>18</xdr:col>
                    <xdr:colOff>209550</xdr:colOff>
                    <xdr:row>0</xdr:row>
                    <xdr:rowOff>0</xdr:rowOff>
                  </from>
                  <to>
                    <xdr:col>20</xdr:col>
                    <xdr:colOff>381000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0" name="Button 10">
              <controlPr defaultSize="0" print="0" autoFill="0" autoPict="0" macro="[0]!AutoBuild">
                <anchor moveWithCells="1" sizeWithCells="1">
                  <from>
                    <xdr:col>19</xdr:col>
                    <xdr:colOff>50800</xdr:colOff>
                    <xdr:row>5</xdr:row>
                    <xdr:rowOff>0</xdr:rowOff>
                  </from>
                  <to>
                    <xdr:col>21</xdr:col>
                    <xdr:colOff>31750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1" name="Button 11">
              <controlPr defaultSize="0" print="0" autoFill="0" autoPict="0" macro="[0]!FullReset">
                <anchor moveWithCells="1" sizeWithCells="1">
                  <from>
                    <xdr:col>18</xdr:col>
                    <xdr:colOff>609600</xdr:colOff>
                    <xdr:row>8</xdr:row>
                    <xdr:rowOff>0</xdr:rowOff>
                  </from>
                  <to>
                    <xdr:col>21</xdr:col>
                    <xdr:colOff>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12" name="Button 16">
              <controlPr defaultSize="0" print="0" autoFill="0" autoPict="0" macro="[0]!ResetOutputs">
                <anchor moveWithCells="1" sizeWithCells="1">
                  <from>
                    <xdr:col>19</xdr:col>
                    <xdr:colOff>0</xdr:colOff>
                    <xdr:row>11</xdr:row>
                    <xdr:rowOff>12700</xdr:rowOff>
                  </from>
                  <to>
                    <xdr:col>21</xdr:col>
                    <xdr:colOff>12700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13" name="Button 17">
              <controlPr defaultSize="0" print="0" autoFill="0" autoPict="0" macro="[0]!_xludf.Clear">
                <anchor moveWithCells="1" sizeWithCells="1">
                  <from>
                    <xdr:col>8</xdr:col>
                    <xdr:colOff>127000</xdr:colOff>
                    <xdr:row>0</xdr:row>
                    <xdr:rowOff>0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14" name="Button 18">
              <controlPr defaultSize="0" print="0" autoFill="0" autoPict="0" macro="[0]!_xludf.Font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13</xdr:col>
                    <xdr:colOff>12700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1" r:id="rId15" name="Button 21">
              <controlPr defaultSize="0" print="0" autoFill="0" autoPict="0" macro="[0]!Mail_and_reset">
                <anchor moveWithCells="1" sizeWithCells="1">
                  <from>
                    <xdr:col>22</xdr:col>
                    <xdr:colOff>381000</xdr:colOff>
                    <xdr:row>10</xdr:row>
                    <xdr:rowOff>127000</xdr:rowOff>
                  </from>
                  <to>
                    <xdr:col>22</xdr:col>
                    <xdr:colOff>1974850</xdr:colOff>
                    <xdr:row>11</xdr:row>
                    <xdr:rowOff>374650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53" id="{383C236E-26AE-4FE5-ACDB-B6B27A316702}">
            <xm:f>MATCH(AM17:DD103,'i:\Users\mattruetz\Library\Containers\com.microsoft.Excel\Data\Documents\Desktop\AZ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Y12:Z12</xm:sqref>
        </x14:conditionalFormatting>
        <x14:conditionalFormatting xmlns:xm="http://schemas.microsoft.com/office/excel/2006/main">
          <x14:cfRule type="expression" priority="854" id="{10935E2B-DD10-42D4-AB13-835732C28341}">
            <xm:f>MATCH(AM17:DD103,'i:\Users\mattruetz\Library\Containers\com.microsoft.Excel\Data\Documents\Desktop\AZ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Y12:Z12</xm:sqref>
        </x14:conditionalFormatting>
        <x14:conditionalFormatting xmlns:xm="http://schemas.microsoft.com/office/excel/2006/main">
          <x14:cfRule type="expression" priority="1123" id="{639250FB-1777-4E97-87A4-D8AF6034ACB5}">
            <xm:f>MATCH(Z20:CQ106,'i:\Users\mattruetz\Library\Containers\com.microsoft.Excel\Data\Documents\Desktop\AZ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X20</xm:sqref>
        </x14:conditionalFormatting>
        <x14:conditionalFormatting xmlns:xm="http://schemas.microsoft.com/office/excel/2006/main">
          <x14:cfRule type="expression" priority="1124" id="{68CA76FB-EAB2-4361-BC46-B257444B6344}">
            <xm:f>MATCH(Z18:CQ104,'i:\Users\mattruetz\Library\Containers\com.microsoft.Excel\Data\Documents\Desktop\AZ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X18:X20</xm:sqref>
        </x14:conditionalFormatting>
        <x14:conditionalFormatting xmlns:xm="http://schemas.microsoft.com/office/excel/2006/main">
          <x14:cfRule type="expression" priority="1128" id="{383C236E-26AE-4FE5-ACDB-B6B27A316702}">
            <xm:f>MATCH(AN21:DE107,'i:\Users\mattruetz\Library\Containers\com.microsoft.Excel\Data\Documents\Desktop\AZ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X16:X17</xm:sqref>
        </x14:conditionalFormatting>
        <x14:conditionalFormatting xmlns:xm="http://schemas.microsoft.com/office/excel/2006/main">
          <x14:cfRule type="expression" priority="540" id="{5A53DB0D-038A-442A-BB82-8FC60B5614A8}">
            <xm:f>MATCH(K6:CB92,'i:\Users\mattruetz\Library\Containers\com.microsoft.Excel\Data\Documents\Desktop\AZ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N6:N21 K18:M21 M6:M16 L17:M17</xm:sqref>
        </x14:conditionalFormatting>
        <x14:conditionalFormatting xmlns:xm="http://schemas.microsoft.com/office/excel/2006/main">
          <x14:cfRule type="expression" priority="250" id="{2E3082CB-8B25-45EC-81A2-8DD53C49C25F}">
            <xm:f>MATCH(L16:CC102,'i:\Users\mattruetz\Library\Containers\com.microsoft.Excel\Data\Documents\Desktop\AZ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L16</xm:sqref>
        </x14:conditionalFormatting>
        <x14:conditionalFormatting xmlns:xm="http://schemas.microsoft.com/office/excel/2006/main">
          <x14:cfRule type="expression" priority="224" id="{52A0D0E5-33C0-4D37-9BCB-6DC255EE2BB3}">
            <xm:f>MATCH(L6:CC92,'i:\Users\mattruetz\Library\Containers\com.microsoft.Excel\Data\Documents\Desktop\AZ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L6:L8 L10:L15</xm:sqref>
        </x14:conditionalFormatting>
        <x14:conditionalFormatting xmlns:xm="http://schemas.microsoft.com/office/excel/2006/main">
          <x14:cfRule type="expression" priority="223" id="{E8B66C23-A86F-4621-87ED-05F03547F091}">
            <xm:f>MATCH(L9:CC95,'i:\Users\mattruetz\Library\Containers\com.microsoft.Excel\Data\Documents\Desktop\AZ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L9</xm:sqref>
        </x14:conditionalFormatting>
        <x14:conditionalFormatting xmlns:xm="http://schemas.microsoft.com/office/excel/2006/main">
          <x14:cfRule type="expression" priority="71" id="{7B251817-3563-4680-BE45-0E47B8FEC184}">
            <xm:f>MATCH(C16:BT102,'i:\Users\mattruetz\Library\Containers\com.microsoft.Excel\Data\Documents\Desktop\AZ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C16</xm:sqref>
        </x14:conditionalFormatting>
        <x14:conditionalFormatting xmlns:xm="http://schemas.microsoft.com/office/excel/2006/main">
          <x14:cfRule type="expression" priority="49" id="{D12CDA17-9831-438C-99B5-120F09047293}">
            <xm:f>MATCH(K6:CB92,'i:\Users\mattruetz\Library\Containers\com.microsoft.Excel\Data\Documents\Desktop\AZ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K6:K12 K15:K17</xm:sqref>
        </x14:conditionalFormatting>
        <x14:conditionalFormatting xmlns:xm="http://schemas.microsoft.com/office/excel/2006/main">
          <x14:cfRule type="expression" priority="48" id="{B079A7DF-AB09-48F9-BEC7-8B2C2738432A}">
            <xm:f>MATCH(K13:CB99,'i:\My Documents\AZ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K13</xm:sqref>
        </x14:conditionalFormatting>
        <x14:conditionalFormatting xmlns:xm="http://schemas.microsoft.com/office/excel/2006/main">
          <x14:cfRule type="expression" priority="30" id="{B087DAD5-B858-4FDF-B405-461AAFEDD08D}">
            <xm:f>MATCH(B14:BS100,'i:\Users\mattruetz\Library\Containers\com.microsoft.Excel\Data\Documents\Desktop\AZ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B14:B16</xm:sqref>
        </x14:conditionalFormatting>
        <x14:conditionalFormatting xmlns:xm="http://schemas.microsoft.com/office/excel/2006/main">
          <x14:cfRule type="expression" priority="28" id="{F22B448E-2C18-43B9-8886-B2D1D00E4E9E}">
            <xm:f>MATCH(C14:BT100,'i:\Users\mattruetz\Library\Containers\com.microsoft.Excel\Data\Documents\Desktop\AZ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C14:C15</xm:sqref>
        </x14:conditionalFormatting>
        <x14:conditionalFormatting xmlns:xm="http://schemas.microsoft.com/office/excel/2006/main">
          <x14:cfRule type="expression" priority="26" id="{BC4F9C46-9B7C-40AD-A8E8-B03346FAEB3E}">
            <xm:f>MATCH(C4:BT90,'i:\My Documents\AZ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C4</xm:sqref>
        </x14:conditionalFormatting>
        <x14:conditionalFormatting xmlns:xm="http://schemas.microsoft.com/office/excel/2006/main">
          <x14:cfRule type="expression" priority="12" id="{C7D6ADEC-D6A5-49EA-91B6-675B492D47C8}">
            <xm:f>MATCH(J6:CA92,'i:\Users\mattruetz\Library\Containers\com.microsoft.Excel\Data\Documents\Desktop\AZ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J6:J12 J15:J21</xm:sqref>
        </x14:conditionalFormatting>
        <x14:conditionalFormatting xmlns:xm="http://schemas.microsoft.com/office/excel/2006/main">
          <x14:cfRule type="expression" priority="11" id="{8B925161-12E0-4A9D-B618-495B4F56C22B}">
            <xm:f>MATCH(J13:CA99,'i:\My Documents\AZ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J13</xm:sqref>
        </x14:conditionalFormatting>
        <x14:conditionalFormatting xmlns:xm="http://schemas.microsoft.com/office/excel/2006/main">
          <x14:cfRule type="expression" priority="10" id="{9CA9ED58-37C5-4044-BF76-5C2B740DA302}">
            <xm:f>MATCH(B4:BS90,'i:\Users\mattruetz\Library\Containers\com.microsoft.Excel\Data\Documents\Desktop\AZ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B4:B6</xm:sqref>
        </x14:conditionalFormatting>
        <x14:conditionalFormatting xmlns:xm="http://schemas.microsoft.com/office/excel/2006/main">
          <x14:cfRule type="expression" priority="9" id="{D3E77B2E-20A1-4077-9DC4-AA37ACF5C5C9}">
            <xm:f>MATCH(C5:BT91,'i:\Users\mattruetz\Library\Containers\com.microsoft.Excel\Data\Documents\Desktop\AZ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C5:C6</xm:sqref>
        </x14:conditionalFormatting>
        <x14:conditionalFormatting xmlns:xm="http://schemas.microsoft.com/office/excel/2006/main">
          <x14:cfRule type="expression" priority="8" id="{16BDB339-602B-4569-8E82-E6C5EA5B1D73}">
            <xm:f>MATCH(C7:BT93,'i:\Users\mattruetz\Library\Containers\com.microsoft.Excel\Data\Documents\Desktop\AZ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C7</xm:sqref>
        </x14:conditionalFormatting>
        <x14:conditionalFormatting xmlns:xm="http://schemas.microsoft.com/office/excel/2006/main">
          <x14:cfRule type="expression" priority="7" id="{D7C78EA1-D70D-454B-B5A7-39B6C2071D46}">
            <xm:f>MATCH(B7:BS93,'i:\Users\mattruetz\Library\Containers\com.microsoft.Excel\Data\Documents\Desktop\AZ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B7</xm:sqref>
        </x14:conditionalFormatting>
        <x14:conditionalFormatting xmlns:xm="http://schemas.microsoft.com/office/excel/2006/main">
          <x14:cfRule type="expression" priority="6" id="{5EDDA250-29F0-47F2-A5B9-0A3A08BED2DA}">
            <xm:f>MATCH(C8:BT94,'i:\Users\mattruetz\Library\Containers\com.microsoft.Excel\Data\Documents\Desktop\AZ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C8</xm:sqref>
        </x14:conditionalFormatting>
        <x14:conditionalFormatting xmlns:xm="http://schemas.microsoft.com/office/excel/2006/main">
          <x14:cfRule type="expression" priority="5" id="{A1AA54B9-8C71-465A-85EA-E7964EDD6DE0}">
            <xm:f>MATCH(B8:BS94,'i:\Users\mattruetz\Library\Containers\com.microsoft.Excel\Data\Documents\Desktop\AZ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B8:B9</xm:sqref>
        </x14:conditionalFormatting>
        <x14:conditionalFormatting xmlns:xm="http://schemas.microsoft.com/office/excel/2006/main">
          <x14:cfRule type="expression" priority="4" id="{C73F43DD-2232-41A4-9693-220896E6567A}">
            <xm:f>MATCH(B10:BS96,'i:\Users\mattruetz\Library\Containers\com.microsoft.Excel\Data\Documents\Desktop\AZ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B10:B11</xm:sqref>
        </x14:conditionalFormatting>
        <x14:conditionalFormatting xmlns:xm="http://schemas.microsoft.com/office/excel/2006/main">
          <x14:cfRule type="expression" priority="3" id="{C27CEFFE-8EC4-4DF4-B4AA-0BE45CB1078F}">
            <xm:f>MATCH(B12:BS98,'i:\Users\mattruetz\Library\Containers\com.microsoft.Excel\Data\Documents\Desktop\AZ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B12</xm:sqref>
        </x14:conditionalFormatting>
        <x14:conditionalFormatting xmlns:xm="http://schemas.microsoft.com/office/excel/2006/main">
          <x14:cfRule type="expression" priority="2" id="{516F22E6-8B79-4F5B-AF40-FF256AB3AF6B}">
            <xm:f>MATCH(B13:BS99,'i:\Users\mattruetz\Library\Containers\com.microsoft.Excel\Data\Documents\Desktop\AZ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B13</xm:sqref>
        </x14:conditionalFormatting>
        <x14:conditionalFormatting xmlns:xm="http://schemas.microsoft.com/office/excel/2006/main">
          <x14:cfRule type="expression" priority="1" id="{FF67BA05-6E46-460B-8FE3-4931C945A589}">
            <xm:f>MATCH(C9:BT95,'i:\Users\mattruetz\Library\Containers\com.microsoft.Excel\Data\Documents\Desktop\AZ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C9:C13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ERR25"/>
  <sheetViews>
    <sheetView zoomScale="70" zoomScaleNormal="70" workbookViewId="0">
      <selection activeCell="J5" sqref="J5:O21"/>
    </sheetView>
  </sheetViews>
  <sheetFormatPr defaultColWidth="9.1796875" defaultRowHeight="13" x14ac:dyDescent="0.3"/>
  <cols>
    <col min="1" max="1" width="8" style="1" customWidth="1"/>
    <col min="2" max="3" width="25.7265625" style="1" customWidth="1"/>
    <col min="4" max="4" width="0.81640625" style="1" customWidth="1"/>
    <col min="5" max="5" width="8" style="1" customWidth="1"/>
    <col min="6" max="6" width="4.453125" style="1" customWidth="1"/>
    <col min="7" max="7" width="17.1796875" style="1" customWidth="1"/>
    <col min="8" max="8" width="17.26953125" style="1" customWidth="1"/>
    <col min="9" max="9" width="2" style="1" customWidth="1"/>
    <col min="10" max="15" width="9.1796875" style="1"/>
    <col min="16" max="17" width="0" style="1" hidden="1" customWidth="1"/>
    <col min="18" max="18" width="11.81640625" style="1" hidden="1" customWidth="1"/>
    <col min="19" max="22" width="9.1796875" style="1"/>
    <col min="23" max="23" width="35.453125" style="1" customWidth="1"/>
    <col min="24" max="16384" width="9.1796875" style="1"/>
  </cols>
  <sheetData>
    <row r="1" spans="1:24 3866:3866" ht="32.25" customHeight="1" x14ac:dyDescent="0.3">
      <c r="A1" s="77" t="s">
        <v>10</v>
      </c>
      <c r="B1" s="78"/>
      <c r="C1" s="78"/>
      <c r="D1" s="78"/>
      <c r="E1" s="78"/>
      <c r="F1" s="78"/>
      <c r="G1" s="78"/>
      <c r="H1" s="79"/>
    </row>
    <row r="2" spans="1:24 3866:3866" x14ac:dyDescent="0.3">
      <c r="A2" s="4"/>
      <c r="B2" s="80"/>
      <c r="C2" s="81"/>
      <c r="D2" s="3"/>
      <c r="E2" s="3"/>
      <c r="F2" s="3"/>
      <c r="G2" s="3"/>
      <c r="H2" s="5"/>
    </row>
    <row r="3" spans="1:24 3866:3866" ht="3" customHeight="1" x14ac:dyDescent="0.3">
      <c r="A3" s="4"/>
      <c r="B3" s="84" t="s">
        <v>29</v>
      </c>
      <c r="C3" s="85"/>
      <c r="D3" s="86"/>
      <c r="E3" s="3"/>
      <c r="F3" s="3"/>
      <c r="G3" s="3"/>
      <c r="H3" s="5"/>
    </row>
    <row r="4" spans="1:24 3866:3866" ht="44.25" customHeight="1" thickBot="1" x14ac:dyDescent="0.35">
      <c r="A4" s="4"/>
      <c r="B4" s="55"/>
      <c r="C4" s="47"/>
      <c r="D4" s="2"/>
      <c r="E4" s="83"/>
      <c r="F4" s="7"/>
      <c r="G4" s="6" t="s">
        <v>2</v>
      </c>
      <c r="H4" s="41"/>
    </row>
    <row r="5" spans="1:24 3866:3866" ht="44.25" customHeight="1" thickBot="1" x14ac:dyDescent="0.35">
      <c r="A5" s="4"/>
      <c r="B5" s="55"/>
      <c r="C5" s="47"/>
      <c r="D5" s="2"/>
      <c r="E5" s="83"/>
      <c r="F5" s="7"/>
      <c r="G5" s="6" t="s">
        <v>1</v>
      </c>
      <c r="H5" s="42"/>
      <c r="J5" s="44"/>
      <c r="K5" s="44" t="s">
        <v>13</v>
      </c>
      <c r="L5" s="11" t="s">
        <v>15</v>
      </c>
      <c r="M5" s="11"/>
      <c r="N5" s="12"/>
      <c r="O5" s="12" t="s">
        <v>16</v>
      </c>
      <c r="P5" s="12" t="s">
        <v>17</v>
      </c>
      <c r="Q5" s="12" t="s">
        <v>18</v>
      </c>
      <c r="R5" s="12" t="s">
        <v>19</v>
      </c>
      <c r="W5" s="34"/>
      <c r="X5" s="33"/>
    </row>
    <row r="6" spans="1:24 3866:3866" ht="44.25" customHeight="1" thickBot="1" x14ac:dyDescent="0.55000000000000004">
      <c r="A6" s="4"/>
      <c r="B6" s="47"/>
      <c r="C6" s="47"/>
      <c r="D6" s="2"/>
      <c r="E6" s="83"/>
      <c r="F6" s="7"/>
      <c r="G6" s="6" t="s">
        <v>0</v>
      </c>
      <c r="H6" s="43"/>
      <c r="J6" s="70"/>
      <c r="K6" s="65"/>
      <c r="L6" s="62"/>
      <c r="M6" s="63"/>
      <c r="N6" s="63"/>
      <c r="O6" s="15">
        <f t="shared" ref="O6:O12" si="0">K6/7</f>
        <v>0</v>
      </c>
      <c r="P6" s="14">
        <f>ROUND(O6,0)</f>
        <v>0</v>
      </c>
      <c r="Q6" s="14">
        <f>P6*7</f>
        <v>0</v>
      </c>
      <c r="R6" s="13">
        <f>K10-Q6</f>
        <v>0</v>
      </c>
      <c r="W6" s="34"/>
      <c r="X6" s="33"/>
    </row>
    <row r="7" spans="1:24 3866:3866" ht="44.25" customHeight="1" x14ac:dyDescent="0.5">
      <c r="A7" s="4"/>
      <c r="B7" s="47"/>
      <c r="C7" s="47"/>
      <c r="D7" s="2"/>
      <c r="E7" s="83"/>
      <c r="F7" s="7"/>
      <c r="G7" s="6"/>
      <c r="H7" s="29"/>
      <c r="J7" s="70"/>
      <c r="K7" s="64"/>
      <c r="L7" s="62"/>
      <c r="M7" s="63"/>
      <c r="N7" s="63"/>
      <c r="O7" s="15">
        <f t="shared" si="0"/>
        <v>0</v>
      </c>
      <c r="P7" s="14"/>
      <c r="Q7" s="14"/>
      <c r="R7" s="13"/>
      <c r="W7" s="34"/>
      <c r="X7" s="33"/>
    </row>
    <row r="8" spans="1:24 3866:3866" ht="44.25" customHeight="1" x14ac:dyDescent="0.5">
      <c r="A8" s="4"/>
      <c r="B8" s="47"/>
      <c r="C8" s="47"/>
      <c r="D8" s="2"/>
      <c r="E8" s="83"/>
      <c r="F8" s="8"/>
      <c r="G8" s="87" t="s">
        <v>3</v>
      </c>
      <c r="H8" s="88"/>
      <c r="J8" s="70"/>
      <c r="K8" s="64"/>
      <c r="L8" s="62"/>
      <c r="M8" s="63"/>
      <c r="N8" s="63"/>
      <c r="O8" s="15">
        <f t="shared" si="0"/>
        <v>0</v>
      </c>
      <c r="P8" s="14">
        <f t="shared" ref="P8:P15" si="1">ROUND(O8,0)</f>
        <v>0</v>
      </c>
      <c r="Q8" s="14">
        <f t="shared" ref="Q8:Q15" si="2">P8*7</f>
        <v>0</v>
      </c>
      <c r="R8" s="13">
        <f>K8-Q8</f>
        <v>0</v>
      </c>
      <c r="T8" s="30"/>
      <c r="U8" s="30"/>
    </row>
    <row r="9" spans="1:24 3866:3866" ht="44.25" customHeight="1" x14ac:dyDescent="0.5">
      <c r="A9" s="4"/>
      <c r="B9" s="47"/>
      <c r="C9" s="48"/>
      <c r="D9" s="2"/>
      <c r="E9" s="83"/>
      <c r="F9" s="7"/>
      <c r="G9" s="35" t="s">
        <v>6</v>
      </c>
      <c r="H9" s="17" t="s">
        <v>4</v>
      </c>
      <c r="J9" s="70"/>
      <c r="K9" s="64"/>
      <c r="L9" s="62"/>
      <c r="M9" s="63"/>
      <c r="N9" s="63"/>
      <c r="O9" s="15">
        <f t="shared" si="0"/>
        <v>0</v>
      </c>
      <c r="P9" s="14">
        <f t="shared" si="1"/>
        <v>0</v>
      </c>
      <c r="Q9" s="14">
        <f t="shared" si="2"/>
        <v>0</v>
      </c>
      <c r="R9" s="13">
        <f>K9-Q9</f>
        <v>0</v>
      </c>
      <c r="T9" s="31"/>
      <c r="U9" s="31"/>
    </row>
    <row r="10" spans="1:24 3866:3866" ht="44.25" customHeight="1" x14ac:dyDescent="0.5">
      <c r="A10" s="4"/>
      <c r="B10" s="47"/>
      <c r="C10" s="47"/>
      <c r="D10" s="2"/>
      <c r="E10" s="3"/>
      <c r="F10" s="3"/>
      <c r="G10" s="16" t="s">
        <v>5</v>
      </c>
      <c r="H10" s="35" t="s">
        <v>20</v>
      </c>
      <c r="J10" s="70"/>
      <c r="K10" s="64"/>
      <c r="L10" s="62"/>
      <c r="M10" s="63"/>
      <c r="N10" s="63"/>
      <c r="O10" s="15">
        <f t="shared" si="0"/>
        <v>0</v>
      </c>
      <c r="P10" s="14">
        <f t="shared" si="1"/>
        <v>0</v>
      </c>
      <c r="Q10" s="14">
        <f t="shared" si="2"/>
        <v>0</v>
      </c>
      <c r="R10" s="13" t="e">
        <f>#REF!-Q10</f>
        <v>#REF!</v>
      </c>
      <c r="T10" s="30"/>
      <c r="U10" s="30"/>
    </row>
    <row r="11" spans="1:24 3866:3866" ht="44.25" customHeight="1" x14ac:dyDescent="0.5">
      <c r="A11" s="4"/>
      <c r="B11" s="47"/>
      <c r="C11" s="47"/>
      <c r="D11" s="2"/>
      <c r="E11" s="3"/>
      <c r="F11" s="3"/>
      <c r="G11" s="97" t="s">
        <v>7</v>
      </c>
      <c r="H11" s="97"/>
      <c r="J11" s="70"/>
      <c r="K11" s="64"/>
      <c r="L11" s="62"/>
      <c r="M11" s="63"/>
      <c r="N11" s="63"/>
      <c r="O11" s="15">
        <f t="shared" si="0"/>
        <v>0</v>
      </c>
      <c r="P11" s="14">
        <f t="shared" si="1"/>
        <v>0</v>
      </c>
      <c r="Q11" s="14">
        <f t="shared" si="2"/>
        <v>0</v>
      </c>
      <c r="R11" s="13">
        <f>K11-Q11</f>
        <v>0</v>
      </c>
      <c r="T11" s="32"/>
      <c r="U11" s="32"/>
    </row>
    <row r="12" spans="1:24 3866:3866" ht="44.25" customHeight="1" x14ac:dyDescent="0.5">
      <c r="A12" s="4"/>
      <c r="B12" s="47"/>
      <c r="C12" s="47"/>
      <c r="D12" s="2"/>
      <c r="E12" s="3"/>
      <c r="F12" s="3"/>
      <c r="G12" s="16" t="s">
        <v>8</v>
      </c>
      <c r="H12" s="35" t="s">
        <v>9</v>
      </c>
      <c r="J12" s="63"/>
      <c r="K12" s="64"/>
      <c r="L12" s="62"/>
      <c r="M12" s="63"/>
      <c r="N12" s="63"/>
      <c r="O12" s="15">
        <f t="shared" si="0"/>
        <v>0</v>
      </c>
      <c r="P12" s="14">
        <f t="shared" si="1"/>
        <v>0</v>
      </c>
      <c r="Q12" s="14">
        <f t="shared" si="2"/>
        <v>0</v>
      </c>
      <c r="R12" s="13" t="e">
        <f>#REF!-Q12</f>
        <v>#REF!</v>
      </c>
      <c r="T12" s="30"/>
      <c r="U12" s="30"/>
    </row>
    <row r="13" spans="1:24 3866:3866" ht="44.25" customHeight="1" x14ac:dyDescent="0.5">
      <c r="A13" s="4"/>
      <c r="B13" s="47"/>
      <c r="C13" s="47"/>
      <c r="D13" s="2"/>
      <c r="E13" s="3"/>
      <c r="F13" s="3"/>
      <c r="G13" s="94" t="s">
        <v>11</v>
      </c>
      <c r="H13" s="94"/>
      <c r="J13" s="63"/>
      <c r="K13" s="64"/>
      <c r="L13" s="62"/>
      <c r="M13" s="63"/>
      <c r="N13" s="63"/>
      <c r="O13" s="15">
        <f>K13/7</f>
        <v>0</v>
      </c>
      <c r="P13" s="14">
        <f t="shared" si="1"/>
        <v>0</v>
      </c>
      <c r="Q13" s="14">
        <f t="shared" si="2"/>
        <v>0</v>
      </c>
      <c r="R13" s="13">
        <f>K12-Q13</f>
        <v>0</v>
      </c>
      <c r="T13" s="30"/>
      <c r="U13" s="30"/>
    </row>
    <row r="14" spans="1:24 3866:3866" ht="44.25" customHeight="1" x14ac:dyDescent="0.5">
      <c r="A14" s="4"/>
      <c r="B14" s="40"/>
      <c r="C14" s="40"/>
      <c r="D14" s="2"/>
      <c r="E14" s="3"/>
      <c r="F14" s="3"/>
      <c r="G14" s="95" t="s">
        <v>12</v>
      </c>
      <c r="H14" s="95"/>
      <c r="J14" s="63"/>
      <c r="K14" s="64"/>
      <c r="L14" s="62"/>
      <c r="M14" s="63"/>
      <c r="N14" s="63"/>
      <c r="O14" s="15">
        <f>K14/7</f>
        <v>0</v>
      </c>
      <c r="P14" s="14">
        <f t="shared" si="1"/>
        <v>0</v>
      </c>
      <c r="Q14" s="14">
        <f t="shared" si="2"/>
        <v>0</v>
      </c>
      <c r="R14" s="13">
        <f>K13-Q14</f>
        <v>0</v>
      </c>
      <c r="U14" s="30"/>
    </row>
    <row r="15" spans="1:24 3866:3866" ht="44.25" customHeight="1" x14ac:dyDescent="0.5">
      <c r="A15" s="4"/>
      <c r="B15" s="46"/>
      <c r="C15" s="40"/>
      <c r="D15" s="2"/>
      <c r="E15" s="3"/>
      <c r="F15" s="3"/>
      <c r="G15" s="91" t="s">
        <v>14</v>
      </c>
      <c r="H15" s="91"/>
      <c r="J15" s="63"/>
      <c r="K15" s="65"/>
      <c r="L15" s="66"/>
      <c r="M15" s="63"/>
      <c r="N15" s="63"/>
      <c r="O15" s="15">
        <f>K15/7</f>
        <v>0</v>
      </c>
      <c r="P15" s="14">
        <f t="shared" si="1"/>
        <v>0</v>
      </c>
      <c r="Q15" s="14">
        <f t="shared" si="2"/>
        <v>0</v>
      </c>
      <c r="R15" s="13">
        <f>K15-Q15</f>
        <v>0</v>
      </c>
      <c r="U15" s="30"/>
    </row>
    <row r="16" spans="1:24 3866:3866" ht="44.25" customHeight="1" x14ac:dyDescent="0.5">
      <c r="A16" s="4"/>
      <c r="B16" s="40"/>
      <c r="C16" s="40"/>
      <c r="D16" s="2"/>
      <c r="E16" s="3"/>
      <c r="F16" s="3"/>
      <c r="G16" s="91" t="s">
        <v>14</v>
      </c>
      <c r="H16" s="91"/>
      <c r="J16" s="63"/>
      <c r="K16" s="67"/>
      <c r="L16" s="68"/>
      <c r="M16" s="63"/>
      <c r="N16" s="63"/>
      <c r="O16" s="15">
        <f>K16/7</f>
        <v>0</v>
      </c>
      <c r="P16" s="14">
        <f>ROUND(O16,0)</f>
        <v>0</v>
      </c>
      <c r="Q16" s="14">
        <f>P16*7</f>
        <v>0</v>
      </c>
      <c r="R16" s="13">
        <f>K16-Q16</f>
        <v>0</v>
      </c>
      <c r="U16" s="30"/>
      <c r="ERR16" s="49"/>
    </row>
    <row r="17" spans="1:15" ht="21" customHeight="1" x14ac:dyDescent="0.5">
      <c r="A17" s="92"/>
      <c r="B17" s="96"/>
      <c r="C17" s="93"/>
      <c r="D17" s="93"/>
      <c r="E17" s="93"/>
      <c r="F17" s="93"/>
      <c r="G17" s="93"/>
      <c r="H17" s="93"/>
      <c r="J17" s="63"/>
      <c r="K17" s="67"/>
      <c r="L17" s="63"/>
      <c r="M17" s="63"/>
      <c r="N17" s="63"/>
      <c r="O17" s="15">
        <f t="shared" ref="O17:O21" si="3">K17/7</f>
        <v>0</v>
      </c>
    </row>
    <row r="18" spans="1:15" ht="21.75" customHeight="1" x14ac:dyDescent="0.5">
      <c r="A18" s="9"/>
      <c r="B18" s="10" t="s">
        <v>21</v>
      </c>
      <c r="C18" s="10">
        <v>4056</v>
      </c>
      <c r="D18" s="10"/>
      <c r="E18" s="10"/>
      <c r="F18" s="10"/>
      <c r="G18" s="25"/>
      <c r="H18" s="26"/>
      <c r="J18" s="63"/>
      <c r="K18" s="64"/>
      <c r="L18" s="63"/>
      <c r="M18" s="63"/>
      <c r="N18" s="63"/>
      <c r="O18" s="15">
        <f t="shared" si="3"/>
        <v>0</v>
      </c>
    </row>
    <row r="19" spans="1:15" ht="21.75" customHeight="1" x14ac:dyDescent="0.5">
      <c r="A19" s="4"/>
      <c r="B19" s="3"/>
      <c r="C19" s="3"/>
      <c r="D19" s="3"/>
      <c r="E19" s="3"/>
      <c r="F19" s="3"/>
      <c r="G19" s="3"/>
      <c r="H19" s="5"/>
      <c r="J19" s="63"/>
      <c r="K19" s="64"/>
      <c r="L19" s="66"/>
      <c r="M19" s="63"/>
      <c r="N19" s="63"/>
      <c r="O19" s="15">
        <f t="shared" si="3"/>
        <v>0</v>
      </c>
    </row>
    <row r="20" spans="1:15" ht="21.75" customHeight="1" x14ac:dyDescent="0.5">
      <c r="A20" s="4"/>
      <c r="B20" s="3"/>
      <c r="C20" s="3"/>
      <c r="D20" s="3"/>
      <c r="E20" s="3"/>
      <c r="F20" s="3"/>
      <c r="G20" s="19"/>
      <c r="H20" s="18"/>
      <c r="J20" s="63"/>
      <c r="K20" s="64"/>
      <c r="L20" s="66"/>
      <c r="M20" s="63"/>
      <c r="N20" s="63"/>
      <c r="O20" s="15">
        <f t="shared" si="3"/>
        <v>0</v>
      </c>
    </row>
    <row r="21" spans="1:15" ht="21.75" customHeight="1" x14ac:dyDescent="0.5">
      <c r="A21" s="20"/>
      <c r="B21" s="23"/>
      <c r="C21" s="23"/>
      <c r="D21" s="23"/>
      <c r="E21" s="23"/>
      <c r="F21" s="23"/>
      <c r="G21" s="23"/>
      <c r="H21" s="21"/>
      <c r="J21" s="63"/>
      <c r="K21" s="69"/>
      <c r="L21" s="66"/>
      <c r="M21" s="63"/>
      <c r="N21" s="63"/>
      <c r="O21" s="15">
        <f t="shared" si="3"/>
        <v>0</v>
      </c>
    </row>
    <row r="22" spans="1:15" ht="21" customHeight="1" x14ac:dyDescent="0.3">
      <c r="A22" s="20"/>
      <c r="B22" s="23"/>
      <c r="C22" s="23"/>
      <c r="D22" s="23"/>
      <c r="E22" s="23"/>
      <c r="F22" s="23"/>
      <c r="G22" s="23"/>
      <c r="H22" s="21"/>
    </row>
    <row r="23" spans="1:15" ht="21" customHeight="1" x14ac:dyDescent="0.3">
      <c r="A23" s="27"/>
      <c r="B23" s="28"/>
      <c r="C23" s="28"/>
      <c r="D23" s="28"/>
      <c r="E23" s="28"/>
      <c r="F23" s="28"/>
      <c r="G23" s="24"/>
      <c r="H23" s="22"/>
    </row>
    <row r="24" spans="1:15" ht="21" customHeight="1" x14ac:dyDescent="0.3">
      <c r="A24" s="71"/>
      <c r="B24" s="72"/>
      <c r="C24" s="72"/>
      <c r="D24" s="72"/>
      <c r="E24" s="72"/>
      <c r="F24" s="72"/>
      <c r="G24" s="72"/>
      <c r="H24" s="73"/>
    </row>
    <row r="25" spans="1:15" ht="21" customHeight="1" x14ac:dyDescent="0.3">
      <c r="A25" s="74"/>
      <c r="B25" s="75"/>
      <c r="C25" s="75"/>
      <c r="D25" s="75"/>
      <c r="E25" s="75"/>
      <c r="F25" s="75"/>
      <c r="G25" s="75"/>
      <c r="H25" s="76"/>
    </row>
  </sheetData>
  <mergeCells count="13">
    <mergeCell ref="G11:H11"/>
    <mergeCell ref="A1:H1"/>
    <mergeCell ref="B2:C2"/>
    <mergeCell ref="B3:D3"/>
    <mergeCell ref="E4:E9"/>
    <mergeCell ref="G8:H8"/>
    <mergeCell ref="A24:H24"/>
    <mergeCell ref="A25:H25"/>
    <mergeCell ref="G13:H13"/>
    <mergeCell ref="G14:H14"/>
    <mergeCell ref="G15:H15"/>
    <mergeCell ref="G16:H16"/>
    <mergeCell ref="A17:H17"/>
  </mergeCells>
  <printOptions horizontalCentered="1"/>
  <pageMargins left="0" right="0" top="0" bottom="0" header="0.31496062992125984" footer="0.31496062992125984"/>
  <pageSetup scale="97" fitToWidth="2" fitToHeight="2" orientation="portrait" r:id="rId1"/>
  <headerFooter alignWithMargins="0"/>
  <rowBreaks count="1" manualBreakCount="1">
    <brk id="25" max="7" man="1"/>
  </rowBreaks>
  <drawing r:id="rId2"/>
  <legacyDrawing r:id="rId3"/>
  <oleObjects>
    <mc:AlternateContent xmlns:mc="http://schemas.openxmlformats.org/markup-compatibility/2006">
      <mc:Choice Requires="x14">
        <oleObject progId="Word.Document.8" shapeId="15361" r:id="rId4">
          <objectPr defaultSize="0" r:id="rId5">
            <anchor moveWithCells="1">
              <from>
                <xdr:col>0</xdr:col>
                <xdr:colOff>31750</xdr:colOff>
                <xdr:row>25</xdr:row>
                <xdr:rowOff>0</xdr:rowOff>
              </from>
              <to>
                <xdr:col>7</xdr:col>
                <xdr:colOff>1060450</xdr:colOff>
                <xdr:row>85</xdr:row>
                <xdr:rowOff>133350</xdr:rowOff>
              </to>
            </anchor>
          </objectPr>
        </oleObject>
      </mc:Choice>
      <mc:Fallback>
        <oleObject progId="Word.Document.8" shapeId="15361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6" name="Button 2">
              <controlPr defaultSize="0" print="0" autoFill="0" autoPict="0" macro="[0]!_xludf.Clear">
                <anchor moveWithCells="1" sizeWithCells="1">
                  <from>
                    <xdr:col>8</xdr:col>
                    <xdr:colOff>127000</xdr:colOff>
                    <xdr:row>0</xdr:row>
                    <xdr:rowOff>0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7" name="Button 3">
              <controlPr defaultSize="0" print="0" autoFill="0" autoPict="0" macro="[0]!_xludf.Font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13</xdr:col>
                    <xdr:colOff>12700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8" name="Button 4">
              <controlPr defaultSize="0" print="0" autoFill="0" autoPict="0" macro="[0]!BWClear">
                <anchor moveWithCells="1" sizeWithCells="1">
                  <from>
                    <xdr:col>13</xdr:col>
                    <xdr:colOff>12700</xdr:colOff>
                    <xdr:row>0</xdr:row>
                    <xdr:rowOff>0</xdr:rowOff>
                  </from>
                  <to>
                    <xdr:col>18</xdr:col>
                    <xdr:colOff>165100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9" name="Button 5">
              <controlPr defaultSize="0" print="0" autoFill="0" autoPict="0" macro="[0]!BWAdd">
                <anchor moveWithCells="1" sizeWithCells="1">
                  <from>
                    <xdr:col>18</xdr:col>
                    <xdr:colOff>190500</xdr:colOff>
                    <xdr:row>0</xdr:row>
                    <xdr:rowOff>0</xdr:rowOff>
                  </from>
                  <to>
                    <xdr:col>20</xdr:col>
                    <xdr:colOff>355600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10" name="Button 6">
              <controlPr defaultSize="0" print="0" autoFill="0" autoPict="0" macro="[0]!pullBWskidsToBack">
                <anchor moveWithCells="1" sizeWithCells="1">
                  <from>
                    <xdr:col>19</xdr:col>
                    <xdr:colOff>361950</xdr:colOff>
                    <xdr:row>8</xdr:row>
                    <xdr:rowOff>209550</xdr:rowOff>
                  </from>
                  <to>
                    <xdr:col>21</xdr:col>
                    <xdr:colOff>374650</xdr:colOff>
                    <xdr:row>9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8" r:id="rId11" name="Button 18">
              <controlPr defaultSize="0" print="0" autoFill="0" autoPict="0" macro="[0]!Mail_and_reset">
                <anchor moveWithCells="1" sizeWithCells="1">
                  <from>
                    <xdr:col>19</xdr:col>
                    <xdr:colOff>381000</xdr:colOff>
                    <xdr:row>10</xdr:row>
                    <xdr:rowOff>127000</xdr:rowOff>
                  </from>
                  <to>
                    <xdr:col>22</xdr:col>
                    <xdr:colOff>146050</xdr:colOff>
                    <xdr:row>11</xdr:row>
                    <xdr:rowOff>374650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84" id="{B6392BF7-C460-4361-9092-F232C5760FB6}">
            <xm:f>MATCH(B4:BS90,'i:\Users\mattruetz\Library\Containers\com.microsoft.Excel\Data\Documents\Desktop\AZ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B14 B4:B9 B7:C8 C12:C15</xm:sqref>
        </x14:conditionalFormatting>
        <x14:conditionalFormatting xmlns:xm="http://schemas.microsoft.com/office/excel/2006/main">
          <x14:cfRule type="expression" priority="54" id="{032B83B9-85CE-4086-BF5C-432F12B50C09}">
            <xm:f>MATCH(C4:BT90,'i:\Users\mattruetz\Library\Containers\com.microsoft.Excel\Data\Documents\Desktop\AZ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C4:C6</xm:sqref>
        </x14:conditionalFormatting>
        <x14:conditionalFormatting xmlns:xm="http://schemas.microsoft.com/office/excel/2006/main">
          <x14:cfRule type="expression" priority="49" id="{48826FB7-E845-4451-85E3-3AF722070E2D}">
            <xm:f>MATCH(C9:BT95,'i:\Users\mattruetz\Library\Containers\com.microsoft.Excel\Data\Documents\Desktop\AZ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C9</xm:sqref>
        </x14:conditionalFormatting>
        <x14:conditionalFormatting xmlns:xm="http://schemas.microsoft.com/office/excel/2006/main">
          <x14:cfRule type="expression" priority="47" id="{377F4D56-8102-4480-B61E-97A8FEC9F7E5}">
            <xm:f>MATCH(C10:BT96,'i:\Users\mattruetz\Library\Containers\com.microsoft.Excel\Data\Documents\Desktop\AZ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C10</xm:sqref>
        </x14:conditionalFormatting>
        <x14:conditionalFormatting xmlns:xm="http://schemas.microsoft.com/office/excel/2006/main">
          <x14:cfRule type="expression" priority="43" id="{0861F38B-AAA2-40AC-93AA-65D60370FA71}">
            <xm:f>MATCH(B9:BS95,'i:\Users\mattruetz\Library\Containers\com.microsoft.Excel\Data\Documents\Desktop\AZ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B9</xm:sqref>
        </x14:conditionalFormatting>
        <x14:conditionalFormatting xmlns:xm="http://schemas.microsoft.com/office/excel/2006/main">
          <x14:cfRule type="expression" priority="38" id="{75F11697-78F5-4E7E-BF78-8AD16D2172A1}">
            <xm:f>MATCH(B9:BS95,'i:\Users\mattruetz\Library\Containers\com.microsoft.Excel\Data\Documents\Desktop\AZ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B9</xm:sqref>
        </x14:conditionalFormatting>
        <x14:conditionalFormatting xmlns:xm="http://schemas.microsoft.com/office/excel/2006/main">
          <x14:cfRule type="expression" priority="36" id="{82F852C3-CC74-405A-9BE5-558F7CD4707B}">
            <xm:f>MATCH(B9:BS95,'i:\Users\mattruetz\Library\Containers\com.microsoft.Excel\Data\Documents\Desktop\AZ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B9</xm:sqref>
        </x14:conditionalFormatting>
        <x14:conditionalFormatting xmlns:xm="http://schemas.microsoft.com/office/excel/2006/main">
          <x14:cfRule type="expression" priority="35" id="{1F934CDB-E18E-4E96-B087-3A9F03B42734}">
            <xm:f>MATCH(B8:BS94,'i:\Users\mattruetz\Library\Containers\com.microsoft.Excel\Data\Documents\Desktop\AZ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B8</xm:sqref>
        </x14:conditionalFormatting>
        <x14:conditionalFormatting xmlns:xm="http://schemas.microsoft.com/office/excel/2006/main">
          <x14:cfRule type="expression" priority="33" id="{14CB4C26-F243-4325-984A-5461238D3812}">
            <xm:f>MATCH(B16:BS102,'i:\Users\mattruetz\Library\Containers\com.microsoft.Excel\Data\Documents\Desktop\AZ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B16</xm:sqref>
        </x14:conditionalFormatting>
        <x14:conditionalFormatting xmlns:xm="http://schemas.microsoft.com/office/excel/2006/main">
          <x14:cfRule type="expression" priority="32" id="{A7F49366-07CB-46AA-91E4-2B6E2FCDADD3}">
            <xm:f>MATCH(C16:BT102,'i:\Users\mattruetz\Library\Containers\com.microsoft.Excel\Data\Documents\Desktop\AZ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C16</xm:sqref>
        </x14:conditionalFormatting>
        <x14:conditionalFormatting xmlns:xm="http://schemas.microsoft.com/office/excel/2006/main">
          <x14:cfRule type="expression" priority="26" id="{FA7DB890-A296-43E8-BFA2-A3D9439C45CC}">
            <xm:f>MATCH(B12:BS98,'i:\Users\mattruetz\Library\Containers\com.microsoft.Excel\Data\Documents\Desktop\AZ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B12</xm:sqref>
        </x14:conditionalFormatting>
        <x14:conditionalFormatting xmlns:xm="http://schemas.microsoft.com/office/excel/2006/main">
          <x14:cfRule type="expression" priority="25" id="{4DBEC4A1-F1A2-4634-9059-50035CFE7EEC}">
            <xm:f>MATCH(B12:BS98,'i:\Users\mattruetz\Library\Containers\com.microsoft.Excel\Data\Documents\Desktop\AZ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B12</xm:sqref>
        </x14:conditionalFormatting>
        <x14:conditionalFormatting xmlns:xm="http://schemas.microsoft.com/office/excel/2006/main">
          <x14:cfRule type="expression" priority="24" id="{98E48494-38BD-4E9A-8564-549CF05492DB}">
            <xm:f>MATCH(B13:BS99,'i:\Users\mattruetz\Library\Containers\com.microsoft.Excel\Data\Documents\Desktop\AZ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B13</xm:sqref>
        </x14:conditionalFormatting>
        <x14:conditionalFormatting xmlns:xm="http://schemas.microsoft.com/office/excel/2006/main">
          <x14:cfRule type="expression" priority="23" id="{AA0FBB41-63ED-4824-8019-86BF5021A506}">
            <xm:f>MATCH(B13:BS99,'i:\Users\mattruetz\Library\Containers\com.microsoft.Excel\Data\Documents\Desktop\AZ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B13</xm:sqref>
        </x14:conditionalFormatting>
        <x14:conditionalFormatting xmlns:xm="http://schemas.microsoft.com/office/excel/2006/main">
          <x14:cfRule type="expression" priority="22" id="{FD23965C-EB40-4990-8FEB-78BAA7E170C8}">
            <xm:f>MATCH(B12:BS98,'i:\Users\mattruetz\Library\Containers\com.microsoft.Excel\Data\Documents\Desktop\AZ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B12</xm:sqref>
        </x14:conditionalFormatting>
        <x14:conditionalFormatting xmlns:xm="http://schemas.microsoft.com/office/excel/2006/main">
          <x14:cfRule type="expression" priority="16" id="{A98F1508-4D60-4AE7-A765-E6CFE8ECBDC4}">
            <xm:f>MATCH(B11:BS97,'i:\Users\mattruetz\Library\Containers\com.microsoft.Excel\Data\Documents\Desktop\AZ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B11</xm:sqref>
        </x14:conditionalFormatting>
        <x14:conditionalFormatting xmlns:xm="http://schemas.microsoft.com/office/excel/2006/main">
          <x14:cfRule type="expression" priority="15" id="{8259178B-09E9-4C30-8B59-4FC8CA3EF50A}">
            <xm:f>MATCH(B11:BS97,'i:\Users\mattruetz\Library\Containers\com.microsoft.Excel\Data\Documents\Desktop\AZ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B11</xm:sqref>
        </x14:conditionalFormatting>
        <x14:conditionalFormatting xmlns:xm="http://schemas.microsoft.com/office/excel/2006/main">
          <x14:cfRule type="expression" priority="14" id="{8BF2A44E-C82C-4C1D-87C9-1E0E798E36BC}">
            <xm:f>MATCH(B10:BS96,'i:\Users\mattruetz\Library\Containers\com.microsoft.Excel\Data\Documents\Desktop\AZ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B10</xm:sqref>
        </x14:conditionalFormatting>
        <x14:conditionalFormatting xmlns:xm="http://schemas.microsoft.com/office/excel/2006/main">
          <x14:cfRule type="expression" priority="13" id="{5638743D-6587-4CA3-BA2F-82F1CA64CC51}">
            <xm:f>MATCH(B10:BS96,'i:\Users\mattruetz\Library\Containers\com.microsoft.Excel\Data\Documents\Desktop\AZ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B10</xm:sqref>
        </x14:conditionalFormatting>
        <x14:conditionalFormatting xmlns:xm="http://schemas.microsoft.com/office/excel/2006/main">
          <x14:cfRule type="expression" priority="12" id="{4DA22556-0C2B-4840-8D68-49533E9C4211}">
            <xm:f>MATCH(B10:BS96,'i:\Users\mattruetz\Library\Containers\com.microsoft.Excel\Data\Documents\Desktop\AZ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B10</xm:sqref>
        </x14:conditionalFormatting>
        <x14:conditionalFormatting xmlns:xm="http://schemas.microsoft.com/office/excel/2006/main">
          <x14:cfRule type="expression" priority="11" id="{15D03B9A-B853-46F3-A885-58A829476C76}">
            <xm:f>MATCH(C11:BT97,'i:\Users\mattruetz\Library\Containers\com.microsoft.Excel\Data\Documents\Desktop\AZ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C11</xm:sqref>
        </x14:conditionalFormatting>
        <x14:conditionalFormatting xmlns:xm="http://schemas.microsoft.com/office/excel/2006/main">
          <x14:cfRule type="expression" priority="10" id="{4CC7D52F-A2FF-45F2-B16A-FED9ABA32AEB}">
            <xm:f>MATCH(C11:BT97,'i:\Users\mattruetz\Library\Containers\com.microsoft.Excel\Data\Documents\Desktop\AZ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C11</xm:sqref>
        </x14:conditionalFormatting>
        <x14:conditionalFormatting xmlns:xm="http://schemas.microsoft.com/office/excel/2006/main">
          <x14:cfRule type="expression" priority="9" id="{4A8C29EA-B398-4487-9393-CD51544D8367}">
            <xm:f>MATCH(B15:BS101,'i:\Users\mattruetz\Library\Containers\com.microsoft.Excel\Data\Documents\Desktop\AZ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B15</xm:sqref>
        </x14:conditionalFormatting>
        <x14:conditionalFormatting xmlns:xm="http://schemas.microsoft.com/office/excel/2006/main">
          <x14:cfRule type="expression" priority="8" id="{A3B97EF5-625B-4721-8E8B-A27D1DC56807}">
            <xm:f>MATCH(K6:CB92,'i:\Users\mattruetz\Library\Containers\com.microsoft.Excel\Data\Documents\Desktop\AZ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N6:N21 K18:M21 M6:M16 L17:M17</xm:sqref>
        </x14:conditionalFormatting>
        <x14:conditionalFormatting xmlns:xm="http://schemas.microsoft.com/office/excel/2006/main">
          <x14:cfRule type="expression" priority="7" id="{6033E5AB-860A-40B5-A598-EA17C84DC036}">
            <xm:f>MATCH(L16:CC102,'i:\Users\mattruetz\Library\Containers\com.microsoft.Excel\Data\Documents\Desktop\AZ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L16</xm:sqref>
        </x14:conditionalFormatting>
        <x14:conditionalFormatting xmlns:xm="http://schemas.microsoft.com/office/excel/2006/main">
          <x14:cfRule type="expression" priority="6" id="{C5D28D4E-6B2A-413A-8C43-7B8ADDF9D1AC}">
            <xm:f>MATCH(L6:CC92,'i:\Users\mattruetz\Library\Containers\com.microsoft.Excel\Data\Documents\Desktop\AZ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L6:L8 L10:L15</xm:sqref>
        </x14:conditionalFormatting>
        <x14:conditionalFormatting xmlns:xm="http://schemas.microsoft.com/office/excel/2006/main">
          <x14:cfRule type="expression" priority="5" id="{68548FE3-1C67-4F31-962A-A34C5F4B0938}">
            <xm:f>MATCH(L9:CC95,'i:\Users\mattruetz\Library\Containers\com.microsoft.Excel\Data\Documents\Desktop\AZ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L9</xm:sqref>
        </x14:conditionalFormatting>
        <x14:conditionalFormatting xmlns:xm="http://schemas.microsoft.com/office/excel/2006/main">
          <x14:cfRule type="expression" priority="4" id="{147C391E-3209-4B59-9418-8D6655C3E00B}">
            <xm:f>MATCH(K6:CB92,'i:\Users\mattruetz\Library\Containers\com.microsoft.Excel\Data\Documents\Desktop\AZ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K6:K12 K15:K17</xm:sqref>
        </x14:conditionalFormatting>
        <x14:conditionalFormatting xmlns:xm="http://schemas.microsoft.com/office/excel/2006/main">
          <x14:cfRule type="expression" priority="3" id="{6B4E9CD7-21E8-4252-90C1-3A787366BCD0}">
            <xm:f>MATCH(K13:CB99,'i:\My Documents\AZ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K13</xm:sqref>
        </x14:conditionalFormatting>
        <x14:conditionalFormatting xmlns:xm="http://schemas.microsoft.com/office/excel/2006/main">
          <x14:cfRule type="expression" priority="2" id="{7E2CEA1D-0550-4654-81E7-4732BAC601B9}">
            <xm:f>MATCH(J6:CA92,'i:\Users\mattruetz\Library\Containers\com.microsoft.Excel\Data\Documents\Desktop\AZ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J6:J12 J15:J21</xm:sqref>
        </x14:conditionalFormatting>
        <x14:conditionalFormatting xmlns:xm="http://schemas.microsoft.com/office/excel/2006/main">
          <x14:cfRule type="expression" priority="1" id="{59B7EA69-721E-4155-BB45-26FBCBD066F9}">
            <xm:f>MATCH(J13:CA99,'i:\My Documents\AZ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J13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ERR25"/>
  <sheetViews>
    <sheetView zoomScale="70" zoomScaleNormal="70" workbookViewId="0">
      <selection activeCell="J5" sqref="J5:O21"/>
    </sheetView>
  </sheetViews>
  <sheetFormatPr defaultColWidth="9.1796875" defaultRowHeight="13" x14ac:dyDescent="0.3"/>
  <cols>
    <col min="1" max="1" width="8" style="1" customWidth="1"/>
    <col min="2" max="3" width="25.7265625" style="1" customWidth="1"/>
    <col min="4" max="4" width="0.81640625" style="1" customWidth="1"/>
    <col min="5" max="5" width="8" style="1" customWidth="1"/>
    <col min="6" max="6" width="4.453125" style="1" customWidth="1"/>
    <col min="7" max="7" width="17.1796875" style="1" customWidth="1"/>
    <col min="8" max="8" width="17.26953125" style="1" customWidth="1"/>
    <col min="9" max="9" width="2" style="1" customWidth="1"/>
    <col min="10" max="15" width="9.1796875" style="1"/>
    <col min="16" max="17" width="0" style="1" hidden="1" customWidth="1"/>
    <col min="18" max="18" width="11.81640625" style="1" hidden="1" customWidth="1"/>
    <col min="19" max="22" width="9.1796875" style="1"/>
    <col min="23" max="23" width="35.453125" style="1" customWidth="1"/>
    <col min="24" max="16384" width="9.1796875" style="1"/>
  </cols>
  <sheetData>
    <row r="1" spans="1:24 3866:3866" ht="32.25" customHeight="1" x14ac:dyDescent="0.3">
      <c r="A1" s="77" t="s">
        <v>10</v>
      </c>
      <c r="B1" s="78"/>
      <c r="C1" s="78"/>
      <c r="D1" s="78"/>
      <c r="E1" s="78"/>
      <c r="F1" s="78"/>
      <c r="G1" s="78"/>
      <c r="H1" s="79"/>
    </row>
    <row r="2" spans="1:24 3866:3866" x14ac:dyDescent="0.3">
      <c r="A2" s="4"/>
      <c r="B2" s="80"/>
      <c r="C2" s="81"/>
      <c r="D2" s="3"/>
      <c r="E2" s="3"/>
      <c r="F2" s="3"/>
      <c r="G2" s="3"/>
      <c r="H2" s="5"/>
    </row>
    <row r="3" spans="1:24 3866:3866" ht="3" customHeight="1" x14ac:dyDescent="0.3">
      <c r="A3" s="4"/>
      <c r="B3" s="84"/>
      <c r="C3" s="85"/>
      <c r="D3" s="86"/>
      <c r="E3" s="3"/>
      <c r="F3" s="3"/>
      <c r="G3" s="3"/>
      <c r="H3" s="5"/>
    </row>
    <row r="4" spans="1:24 3866:3866" ht="44.25" customHeight="1" thickBot="1" x14ac:dyDescent="0.35">
      <c r="A4" s="4"/>
      <c r="B4" s="40"/>
      <c r="C4" s="47"/>
      <c r="D4" s="2"/>
      <c r="E4" s="83"/>
      <c r="F4" s="7"/>
      <c r="G4" s="6" t="s">
        <v>2</v>
      </c>
      <c r="H4" s="41"/>
    </row>
    <row r="5" spans="1:24 3866:3866" ht="44.25" customHeight="1" thickBot="1" x14ac:dyDescent="0.35">
      <c r="A5" s="4"/>
      <c r="B5" s="40"/>
      <c r="C5" s="47"/>
      <c r="D5" s="2"/>
      <c r="E5" s="83"/>
      <c r="F5" s="7"/>
      <c r="G5" s="6" t="s">
        <v>1</v>
      </c>
      <c r="H5" s="42"/>
      <c r="J5" s="44"/>
      <c r="K5" s="44" t="s">
        <v>13</v>
      </c>
      <c r="L5" s="11" t="s">
        <v>15</v>
      </c>
      <c r="M5" s="11"/>
      <c r="N5" s="12"/>
      <c r="O5" s="12" t="s">
        <v>16</v>
      </c>
      <c r="P5" s="12" t="s">
        <v>17</v>
      </c>
      <c r="Q5" s="12" t="s">
        <v>18</v>
      </c>
      <c r="R5" s="12" t="s">
        <v>19</v>
      </c>
      <c r="W5" s="34"/>
      <c r="X5" s="33"/>
    </row>
    <row r="6" spans="1:24 3866:3866" ht="44.25" customHeight="1" thickBot="1" x14ac:dyDescent="0.55000000000000004">
      <c r="A6" s="4"/>
      <c r="B6" s="47"/>
      <c r="C6" s="47"/>
      <c r="D6" s="2"/>
      <c r="E6" s="83"/>
      <c r="F6" s="7"/>
      <c r="G6" s="6" t="s">
        <v>0</v>
      </c>
      <c r="H6" s="43"/>
      <c r="J6" s="70"/>
      <c r="K6" s="65"/>
      <c r="L6" s="62"/>
      <c r="M6" s="63"/>
      <c r="N6" s="63"/>
      <c r="O6" s="15">
        <f t="shared" ref="O6:O12" si="0">K6/7</f>
        <v>0</v>
      </c>
      <c r="P6" s="14">
        <f>ROUND(O6,0)</f>
        <v>0</v>
      </c>
      <c r="Q6" s="14">
        <f>P6*7</f>
        <v>0</v>
      </c>
      <c r="R6" s="13">
        <f>K10-Q6</f>
        <v>0</v>
      </c>
      <c r="W6" s="34"/>
      <c r="X6" s="33"/>
    </row>
    <row r="7" spans="1:24 3866:3866" ht="44.25" customHeight="1" x14ac:dyDescent="0.5">
      <c r="A7" s="4"/>
      <c r="B7" s="47"/>
      <c r="C7" s="47"/>
      <c r="D7" s="2"/>
      <c r="E7" s="83"/>
      <c r="F7" s="7"/>
      <c r="G7" s="6"/>
      <c r="H7" s="29"/>
      <c r="J7" s="70"/>
      <c r="K7" s="64"/>
      <c r="L7" s="62"/>
      <c r="M7" s="63"/>
      <c r="N7" s="63"/>
      <c r="O7" s="15">
        <f t="shared" si="0"/>
        <v>0</v>
      </c>
      <c r="P7" s="14"/>
      <c r="Q7" s="14"/>
      <c r="R7" s="13"/>
      <c r="W7" s="34"/>
      <c r="X7" s="33"/>
    </row>
    <row r="8" spans="1:24 3866:3866" ht="44.25" customHeight="1" x14ac:dyDescent="0.5">
      <c r="A8" s="4"/>
      <c r="B8" s="47"/>
      <c r="C8" s="47"/>
      <c r="D8" s="2"/>
      <c r="E8" s="83"/>
      <c r="F8" s="8"/>
      <c r="G8" s="87" t="s">
        <v>3</v>
      </c>
      <c r="H8" s="88"/>
      <c r="J8" s="70"/>
      <c r="K8" s="64"/>
      <c r="L8" s="62"/>
      <c r="M8" s="63"/>
      <c r="N8" s="63"/>
      <c r="O8" s="15">
        <f t="shared" si="0"/>
        <v>0</v>
      </c>
      <c r="P8" s="14">
        <f t="shared" ref="P8:P15" si="1">ROUND(O8,0)</f>
        <v>0</v>
      </c>
      <c r="Q8" s="14">
        <f t="shared" ref="Q8:Q15" si="2">P8*7</f>
        <v>0</v>
      </c>
      <c r="R8" s="13">
        <f>K8-Q8</f>
        <v>0</v>
      </c>
      <c r="U8" s="30"/>
    </row>
    <row r="9" spans="1:24 3866:3866" ht="44.25" customHeight="1" x14ac:dyDescent="0.5">
      <c r="A9" s="4"/>
      <c r="B9" s="47"/>
      <c r="C9" s="47"/>
      <c r="D9" s="2"/>
      <c r="E9" s="83"/>
      <c r="F9" s="7"/>
      <c r="G9" s="35" t="s">
        <v>6</v>
      </c>
      <c r="H9" s="17" t="s">
        <v>4</v>
      </c>
      <c r="J9" s="70"/>
      <c r="K9" s="64"/>
      <c r="L9" s="62"/>
      <c r="M9" s="63"/>
      <c r="N9" s="63"/>
      <c r="O9" s="15">
        <f t="shared" si="0"/>
        <v>0</v>
      </c>
      <c r="P9" s="14">
        <f t="shared" si="1"/>
        <v>0</v>
      </c>
      <c r="Q9" s="14">
        <f t="shared" si="2"/>
        <v>0</v>
      </c>
      <c r="R9" s="13">
        <f>K9-Q9</f>
        <v>0</v>
      </c>
      <c r="U9" s="31"/>
    </row>
    <row r="10" spans="1:24 3866:3866" ht="44.25" customHeight="1" x14ac:dyDescent="0.5">
      <c r="A10" s="4"/>
      <c r="B10" s="47"/>
      <c r="C10" s="47"/>
      <c r="D10" s="2"/>
      <c r="E10" s="3"/>
      <c r="F10" s="3"/>
      <c r="G10" s="16" t="s">
        <v>5</v>
      </c>
      <c r="H10" s="35" t="s">
        <v>20</v>
      </c>
      <c r="J10" s="70"/>
      <c r="K10" s="64"/>
      <c r="L10" s="62"/>
      <c r="M10" s="63"/>
      <c r="N10" s="63"/>
      <c r="O10" s="15">
        <f t="shared" si="0"/>
        <v>0</v>
      </c>
      <c r="P10" s="14">
        <f t="shared" si="1"/>
        <v>0</v>
      </c>
      <c r="Q10" s="14">
        <f t="shared" si="2"/>
        <v>0</v>
      </c>
      <c r="R10" s="13" t="e">
        <f>#REF!-Q10</f>
        <v>#REF!</v>
      </c>
      <c r="U10" s="30"/>
    </row>
    <row r="11" spans="1:24 3866:3866" ht="44.25" customHeight="1" x14ac:dyDescent="0.5">
      <c r="A11" s="4"/>
      <c r="B11" s="47"/>
      <c r="C11" s="47"/>
      <c r="D11" s="2"/>
      <c r="E11" s="3"/>
      <c r="F11" s="3"/>
      <c r="G11" s="97" t="s">
        <v>7</v>
      </c>
      <c r="H11" s="97"/>
      <c r="J11" s="70"/>
      <c r="K11" s="64"/>
      <c r="L11" s="62"/>
      <c r="M11" s="63"/>
      <c r="N11" s="63"/>
      <c r="O11" s="15">
        <f t="shared" si="0"/>
        <v>0</v>
      </c>
      <c r="P11" s="14">
        <f t="shared" si="1"/>
        <v>0</v>
      </c>
      <c r="Q11" s="14">
        <f t="shared" si="2"/>
        <v>0</v>
      </c>
      <c r="R11" s="13">
        <f>K11-Q11</f>
        <v>0</v>
      </c>
      <c r="U11" s="32"/>
    </row>
    <row r="12" spans="1:24 3866:3866" ht="44.25" customHeight="1" x14ac:dyDescent="0.5">
      <c r="A12" s="4"/>
      <c r="B12" s="47"/>
      <c r="C12" s="47"/>
      <c r="D12" s="2"/>
      <c r="E12" s="3"/>
      <c r="F12" s="3"/>
      <c r="G12" s="16" t="s">
        <v>8</v>
      </c>
      <c r="H12" s="35" t="s">
        <v>9</v>
      </c>
      <c r="J12" s="63"/>
      <c r="K12" s="64"/>
      <c r="L12" s="62"/>
      <c r="M12" s="63"/>
      <c r="N12" s="63"/>
      <c r="O12" s="15">
        <f t="shared" si="0"/>
        <v>0</v>
      </c>
      <c r="P12" s="14">
        <f t="shared" si="1"/>
        <v>0</v>
      </c>
      <c r="Q12" s="14">
        <f t="shared" si="2"/>
        <v>0</v>
      </c>
      <c r="R12" s="13" t="e">
        <f>#REF!-Q12</f>
        <v>#REF!</v>
      </c>
      <c r="U12" s="30"/>
    </row>
    <row r="13" spans="1:24 3866:3866" ht="44.25" customHeight="1" x14ac:dyDescent="0.5">
      <c r="A13" s="4"/>
      <c r="B13" s="46"/>
      <c r="C13" s="47"/>
      <c r="D13" s="2"/>
      <c r="E13" s="3"/>
      <c r="F13" s="3"/>
      <c r="G13" s="94" t="s">
        <v>11</v>
      </c>
      <c r="H13" s="94"/>
      <c r="J13" s="63"/>
      <c r="K13" s="64"/>
      <c r="L13" s="62"/>
      <c r="M13" s="63"/>
      <c r="N13" s="63"/>
      <c r="O13" s="15">
        <f>K13/7</f>
        <v>0</v>
      </c>
      <c r="P13" s="14">
        <f t="shared" si="1"/>
        <v>0</v>
      </c>
      <c r="Q13" s="14">
        <f t="shared" si="2"/>
        <v>0</v>
      </c>
      <c r="R13" s="13">
        <f>K12-Q13</f>
        <v>0</v>
      </c>
      <c r="U13" s="30"/>
    </row>
    <row r="14" spans="1:24 3866:3866" ht="44.25" customHeight="1" x14ac:dyDescent="0.5">
      <c r="A14" s="4"/>
      <c r="B14" s="47"/>
      <c r="C14" s="46"/>
      <c r="D14" s="2"/>
      <c r="E14" s="3"/>
      <c r="F14" s="3"/>
      <c r="G14" s="95" t="s">
        <v>12</v>
      </c>
      <c r="H14" s="95"/>
      <c r="J14" s="63"/>
      <c r="K14" s="64"/>
      <c r="L14" s="62"/>
      <c r="M14" s="63"/>
      <c r="N14" s="63"/>
      <c r="O14" s="15">
        <f>K14/7</f>
        <v>0</v>
      </c>
      <c r="P14" s="14">
        <f t="shared" si="1"/>
        <v>0</v>
      </c>
      <c r="Q14" s="14">
        <f t="shared" si="2"/>
        <v>0</v>
      </c>
      <c r="R14" s="13">
        <f>K13-Q14</f>
        <v>0</v>
      </c>
      <c r="U14" s="30"/>
    </row>
    <row r="15" spans="1:24 3866:3866" ht="44.25" customHeight="1" x14ac:dyDescent="0.5">
      <c r="A15" s="4"/>
      <c r="B15" s="46"/>
      <c r="C15" s="46"/>
      <c r="D15" s="2"/>
      <c r="E15" s="3"/>
      <c r="F15" s="3"/>
      <c r="G15" s="91" t="s">
        <v>14</v>
      </c>
      <c r="H15" s="91"/>
      <c r="J15" s="63"/>
      <c r="K15" s="65"/>
      <c r="L15" s="66"/>
      <c r="M15" s="63"/>
      <c r="N15" s="63"/>
      <c r="O15" s="15">
        <f>K15/7</f>
        <v>0</v>
      </c>
      <c r="P15" s="14">
        <f t="shared" si="1"/>
        <v>0</v>
      </c>
      <c r="Q15" s="14">
        <f t="shared" si="2"/>
        <v>0</v>
      </c>
      <c r="R15" s="13">
        <f>K15-Q15</f>
        <v>0</v>
      </c>
      <c r="U15" s="30"/>
    </row>
    <row r="16" spans="1:24 3866:3866" ht="44.25" customHeight="1" x14ac:dyDescent="0.5">
      <c r="A16" s="4"/>
      <c r="B16" s="46"/>
      <c r="C16" s="46"/>
      <c r="D16" s="2"/>
      <c r="E16" s="3"/>
      <c r="F16" s="3"/>
      <c r="G16" s="91" t="s">
        <v>14</v>
      </c>
      <c r="H16" s="91"/>
      <c r="J16" s="63"/>
      <c r="K16" s="67"/>
      <c r="L16" s="68"/>
      <c r="M16" s="63"/>
      <c r="N16" s="63"/>
      <c r="O16" s="15">
        <f>K16/7</f>
        <v>0</v>
      </c>
      <c r="P16" s="14">
        <f>ROUND(O16,0)</f>
        <v>0</v>
      </c>
      <c r="Q16" s="14">
        <f>P16*7</f>
        <v>0</v>
      </c>
      <c r="R16" s="13">
        <f>K16-Q16</f>
        <v>0</v>
      </c>
      <c r="U16" s="30"/>
      <c r="ERR16" s="49"/>
    </row>
    <row r="17" spans="1:21" ht="21" customHeight="1" x14ac:dyDescent="0.5">
      <c r="A17" s="92"/>
      <c r="B17" s="96"/>
      <c r="C17" s="93"/>
      <c r="D17" s="93"/>
      <c r="E17" s="93"/>
      <c r="F17" s="93"/>
      <c r="G17" s="93"/>
      <c r="H17" s="93"/>
      <c r="J17" s="63"/>
      <c r="K17" s="67"/>
      <c r="L17" s="63"/>
      <c r="M17" s="63"/>
      <c r="N17" s="63"/>
      <c r="O17" s="15">
        <f t="shared" ref="O17:O21" si="3">K17/7</f>
        <v>0</v>
      </c>
      <c r="U17" s="30"/>
    </row>
    <row r="18" spans="1:21" ht="21.75" customHeight="1" x14ac:dyDescent="0.5">
      <c r="A18" s="9"/>
      <c r="B18" s="10" t="s">
        <v>21</v>
      </c>
      <c r="C18" s="10">
        <v>4056</v>
      </c>
      <c r="D18" s="10"/>
      <c r="E18" s="10"/>
      <c r="F18" s="10"/>
      <c r="G18" s="25"/>
      <c r="H18" s="26"/>
      <c r="J18" s="63"/>
      <c r="K18" s="64"/>
      <c r="L18" s="63"/>
      <c r="M18" s="63"/>
      <c r="N18" s="63"/>
      <c r="O18" s="15">
        <f t="shared" si="3"/>
        <v>0</v>
      </c>
    </row>
    <row r="19" spans="1:21" ht="21.75" customHeight="1" x14ac:dyDescent="0.5">
      <c r="A19" s="4"/>
      <c r="B19" s="3"/>
      <c r="C19" s="3"/>
      <c r="D19" s="3"/>
      <c r="E19" s="3"/>
      <c r="F19" s="3"/>
      <c r="G19" s="3"/>
      <c r="H19" s="5"/>
      <c r="J19" s="63"/>
      <c r="K19" s="64"/>
      <c r="L19" s="66"/>
      <c r="M19" s="63"/>
      <c r="N19" s="63"/>
      <c r="O19" s="15">
        <f t="shared" si="3"/>
        <v>0</v>
      </c>
    </row>
    <row r="20" spans="1:21" ht="21.75" customHeight="1" x14ac:dyDescent="0.5">
      <c r="A20" s="4"/>
      <c r="B20" s="3"/>
      <c r="C20" s="3"/>
      <c r="D20" s="3"/>
      <c r="E20" s="3"/>
      <c r="F20" s="3"/>
      <c r="G20" s="19"/>
      <c r="H20" s="18"/>
      <c r="J20" s="63"/>
      <c r="K20" s="64"/>
      <c r="L20" s="66"/>
      <c r="M20" s="63"/>
      <c r="N20" s="63"/>
      <c r="O20" s="15">
        <f t="shared" si="3"/>
        <v>0</v>
      </c>
    </row>
    <row r="21" spans="1:21" ht="21.75" customHeight="1" x14ac:dyDescent="0.5">
      <c r="A21" s="20"/>
      <c r="B21" s="23"/>
      <c r="C21" s="23"/>
      <c r="D21" s="23"/>
      <c r="E21" s="23"/>
      <c r="F21" s="23"/>
      <c r="G21" s="23"/>
      <c r="H21" s="21"/>
      <c r="J21" s="63"/>
      <c r="K21" s="69"/>
      <c r="L21" s="66"/>
      <c r="M21" s="63"/>
      <c r="N21" s="63"/>
      <c r="O21" s="15">
        <f t="shared" si="3"/>
        <v>0</v>
      </c>
    </row>
    <row r="22" spans="1:21" ht="21" customHeight="1" x14ac:dyDescent="0.3">
      <c r="A22" s="20"/>
      <c r="B22" s="23"/>
      <c r="C22" s="23"/>
      <c r="D22" s="23"/>
      <c r="E22" s="23"/>
      <c r="F22" s="23"/>
      <c r="G22" s="23"/>
      <c r="H22" s="21"/>
    </row>
    <row r="23" spans="1:21" ht="21" customHeight="1" x14ac:dyDescent="0.3">
      <c r="A23" s="27"/>
      <c r="B23" s="28"/>
      <c r="C23" s="28"/>
      <c r="D23" s="28"/>
      <c r="E23" s="28"/>
      <c r="F23" s="28"/>
      <c r="G23" s="24"/>
      <c r="H23" s="22"/>
    </row>
    <row r="24" spans="1:21" ht="21" customHeight="1" x14ac:dyDescent="0.3">
      <c r="A24" s="71"/>
      <c r="B24" s="72"/>
      <c r="C24" s="72"/>
      <c r="D24" s="72"/>
      <c r="E24" s="72"/>
      <c r="F24" s="72"/>
      <c r="G24" s="72"/>
      <c r="H24" s="73"/>
    </row>
    <row r="25" spans="1:21" ht="21" customHeight="1" x14ac:dyDescent="0.3">
      <c r="A25" s="74"/>
      <c r="B25" s="75"/>
      <c r="C25" s="75"/>
      <c r="D25" s="75"/>
      <c r="E25" s="75"/>
      <c r="F25" s="75"/>
      <c r="G25" s="75"/>
      <c r="H25" s="76"/>
    </row>
  </sheetData>
  <mergeCells count="13">
    <mergeCell ref="G11:H11"/>
    <mergeCell ref="A1:H1"/>
    <mergeCell ref="B2:C2"/>
    <mergeCell ref="B3:D3"/>
    <mergeCell ref="E4:E9"/>
    <mergeCell ref="G8:H8"/>
    <mergeCell ref="A24:H24"/>
    <mergeCell ref="A25:H25"/>
    <mergeCell ref="G13:H13"/>
    <mergeCell ref="G14:H14"/>
    <mergeCell ref="G15:H15"/>
    <mergeCell ref="G16:H16"/>
    <mergeCell ref="A17:H17"/>
  </mergeCells>
  <printOptions horizontalCentered="1"/>
  <pageMargins left="0" right="0" top="0" bottom="0" header="0.31496062992125984" footer="0.31496062992125984"/>
  <pageSetup scale="97" fitToWidth="2" fitToHeight="2" orientation="portrait" r:id="rId1"/>
  <headerFooter alignWithMargins="0"/>
  <rowBreaks count="1" manualBreakCount="1">
    <brk id="25" max="7" man="1"/>
  </rowBreaks>
  <drawing r:id="rId2"/>
  <legacyDrawing r:id="rId3"/>
  <oleObjects>
    <mc:AlternateContent xmlns:mc="http://schemas.openxmlformats.org/markup-compatibility/2006">
      <mc:Choice Requires="x14">
        <oleObject progId="Word.Document.8" shapeId="16385" r:id="rId4">
          <objectPr defaultSize="0" r:id="rId5">
            <anchor moveWithCells="1">
              <from>
                <xdr:col>0</xdr:col>
                <xdr:colOff>31750</xdr:colOff>
                <xdr:row>25</xdr:row>
                <xdr:rowOff>0</xdr:rowOff>
              </from>
              <to>
                <xdr:col>7</xdr:col>
                <xdr:colOff>1060450</xdr:colOff>
                <xdr:row>85</xdr:row>
                <xdr:rowOff>152400</xdr:rowOff>
              </to>
            </anchor>
          </objectPr>
        </oleObject>
      </mc:Choice>
      <mc:Fallback>
        <oleObject progId="Word.Document.8" shapeId="16385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6" r:id="rId6" name="Button 2">
              <controlPr defaultSize="0" print="0" autoFill="0" autoPict="0" macro="[0]!_xludf.Clear">
                <anchor moveWithCells="1" sizeWithCells="1">
                  <from>
                    <xdr:col>8</xdr:col>
                    <xdr:colOff>127000</xdr:colOff>
                    <xdr:row>0</xdr:row>
                    <xdr:rowOff>0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7" name="Button 3">
              <controlPr defaultSize="0" print="0" autoFill="0" autoPict="0" macro="[0]!_xludf.Font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13</xdr:col>
                    <xdr:colOff>12700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8" name="Button 4">
              <controlPr defaultSize="0" print="0" autoFill="0" autoPict="0" macro="[0]!BWClear">
                <anchor moveWithCells="1" sizeWithCells="1">
                  <from>
                    <xdr:col>13</xdr:col>
                    <xdr:colOff>12700</xdr:colOff>
                    <xdr:row>0</xdr:row>
                    <xdr:rowOff>0</xdr:rowOff>
                  </from>
                  <to>
                    <xdr:col>18</xdr:col>
                    <xdr:colOff>165100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9" name="Button 5">
              <controlPr defaultSize="0" print="0" autoFill="0" autoPict="0" macro="[0]!BWAdd">
                <anchor moveWithCells="1" sizeWithCells="1">
                  <from>
                    <xdr:col>18</xdr:col>
                    <xdr:colOff>190500</xdr:colOff>
                    <xdr:row>0</xdr:row>
                    <xdr:rowOff>0</xdr:rowOff>
                  </from>
                  <to>
                    <xdr:col>20</xdr:col>
                    <xdr:colOff>355600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" r:id="rId10" name="Button 7">
              <controlPr defaultSize="0" print="0" autoFill="0" autoPict="0" macro="[0]!pullBWskidsToBack">
                <anchor moveWithCells="1" sizeWithCells="1">
                  <from>
                    <xdr:col>19</xdr:col>
                    <xdr:colOff>361950</xdr:colOff>
                    <xdr:row>8</xdr:row>
                    <xdr:rowOff>209550</xdr:rowOff>
                  </from>
                  <to>
                    <xdr:col>21</xdr:col>
                    <xdr:colOff>374650</xdr:colOff>
                    <xdr:row>9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11" name="Button 8">
              <controlPr defaultSize="0" print="0" autoFill="0" autoPict="0" macro="[0]!_xludf.Clear">
                <anchor moveWithCells="1" sizeWithCells="1">
                  <from>
                    <xdr:col>8</xdr:col>
                    <xdr:colOff>127000</xdr:colOff>
                    <xdr:row>0</xdr:row>
                    <xdr:rowOff>0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3" r:id="rId12" name="Button 9">
              <controlPr defaultSize="0" print="0" autoFill="0" autoPict="0" macro="[0]!_xludf.Font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13</xdr:col>
                    <xdr:colOff>12700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5" r:id="rId13" name="Button 21">
              <controlPr defaultSize="0" print="0" autoFill="0" autoPict="0" macro="[0]!Mail_and_reset">
                <anchor moveWithCells="1" sizeWithCells="1">
                  <from>
                    <xdr:col>19</xdr:col>
                    <xdr:colOff>381000</xdr:colOff>
                    <xdr:row>10</xdr:row>
                    <xdr:rowOff>127000</xdr:rowOff>
                  </from>
                  <to>
                    <xdr:col>22</xdr:col>
                    <xdr:colOff>146050</xdr:colOff>
                    <xdr:row>11</xdr:row>
                    <xdr:rowOff>374650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6" id="{C9985C6A-37C1-4AF1-BC55-5BF3F8B6360E}">
            <xm:f>MATCH(B4:BS90,'i:\Users\mattruetz\Library\Containers\com.microsoft.Excel\Data\Documents\Desktop\AZ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B14 B4:B12 C4:C13</xm:sqref>
        </x14:conditionalFormatting>
        <x14:conditionalFormatting xmlns:xm="http://schemas.microsoft.com/office/excel/2006/main">
          <x14:cfRule type="expression" priority="15" id="{449BF603-322C-4885-AAF1-6FB8AFAEAF97}">
            <xm:f>MATCH(A14:BR100,'i:\Users\mattruetz\Library\Containers\com.microsoft.Excel\Data\Documents\Desktop\AZ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B13</xm:sqref>
        </x14:conditionalFormatting>
        <x14:conditionalFormatting xmlns:xm="http://schemas.microsoft.com/office/excel/2006/main">
          <x14:cfRule type="expression" priority="14" id="{4932D961-97CD-46E8-A0F8-54ED0725E028}">
            <xm:f>MATCH(C15:BT101,'i:\Users\mattruetz\Library\Containers\com.microsoft.Excel\Data\Documents\Desktop\AZ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C15</xm:sqref>
        </x14:conditionalFormatting>
        <x14:conditionalFormatting xmlns:xm="http://schemas.microsoft.com/office/excel/2006/main">
          <x14:cfRule type="expression" priority="13" id="{B92B9ADC-3ED4-45AC-B001-ADCC8056A999}">
            <xm:f>MATCH(B16:BS102,'i:\Users\mattruetz\Library\Containers\com.microsoft.Excel\Data\Documents\Desktop\AZ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B16:C16</xm:sqref>
        </x14:conditionalFormatting>
        <x14:conditionalFormatting xmlns:xm="http://schemas.microsoft.com/office/excel/2006/main">
          <x14:cfRule type="expression" priority="12" id="{9606CEB9-66F5-4023-AB74-C553138784B8}">
            <xm:f>MATCH(C15:BT101,'i:\Users\mattruetz\Library\Containers\com.microsoft.Excel\Data\Documents\Desktop\AZ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C15</xm:sqref>
        </x14:conditionalFormatting>
        <x14:conditionalFormatting xmlns:xm="http://schemas.microsoft.com/office/excel/2006/main">
          <x14:cfRule type="expression" priority="11" id="{EF4AF7C7-9316-44FE-8C8A-1EEC6938E86E}">
            <xm:f>MATCH(C14:BT100,'i:\Users\mattruetz\Library\Containers\com.microsoft.Excel\Data\Documents\Desktop\AZ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C14</xm:sqref>
        </x14:conditionalFormatting>
        <x14:conditionalFormatting xmlns:xm="http://schemas.microsoft.com/office/excel/2006/main">
          <x14:cfRule type="expression" priority="9" id="{88E9404F-0640-4B47-AAFA-9F31A4A920EA}">
            <xm:f>MATCH(B15:BS101,'i:\Users\mattruetz\Library\Containers\com.microsoft.Excel\Data\Documents\Desktop\AZ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B15</xm:sqref>
        </x14:conditionalFormatting>
        <x14:conditionalFormatting xmlns:xm="http://schemas.microsoft.com/office/excel/2006/main">
          <x14:cfRule type="expression" priority="8" id="{52836AB9-4EBA-400B-B8C0-6C4F778C0B33}">
            <xm:f>MATCH(K6:CB92,'i:\Users\mattruetz\Library\Containers\com.microsoft.Excel\Data\Documents\Desktop\AZ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N6:N21 K18:M21 M6:M16 L17:M17</xm:sqref>
        </x14:conditionalFormatting>
        <x14:conditionalFormatting xmlns:xm="http://schemas.microsoft.com/office/excel/2006/main">
          <x14:cfRule type="expression" priority="7" id="{FE130DBF-7395-4179-AAF7-5806F622D5B6}">
            <xm:f>MATCH(L16:CC102,'i:\Users\mattruetz\Library\Containers\com.microsoft.Excel\Data\Documents\Desktop\AZ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L16</xm:sqref>
        </x14:conditionalFormatting>
        <x14:conditionalFormatting xmlns:xm="http://schemas.microsoft.com/office/excel/2006/main">
          <x14:cfRule type="expression" priority="6" id="{7DA5DA21-7096-4DE7-AE94-72E6887BFCD8}">
            <xm:f>MATCH(L6:CC92,'i:\Users\mattruetz\Library\Containers\com.microsoft.Excel\Data\Documents\Desktop\AZ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L6:L8 L10:L15</xm:sqref>
        </x14:conditionalFormatting>
        <x14:conditionalFormatting xmlns:xm="http://schemas.microsoft.com/office/excel/2006/main">
          <x14:cfRule type="expression" priority="5" id="{54AA640F-23B5-419C-997D-8DCB198BDA0C}">
            <xm:f>MATCH(L9:CC95,'i:\Users\mattruetz\Library\Containers\com.microsoft.Excel\Data\Documents\Desktop\AZ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L9</xm:sqref>
        </x14:conditionalFormatting>
        <x14:conditionalFormatting xmlns:xm="http://schemas.microsoft.com/office/excel/2006/main">
          <x14:cfRule type="expression" priority="4" id="{C5A272E4-04A5-4C07-933B-16F5BF63615E}">
            <xm:f>MATCH(K6:CB92,'i:\Users\mattruetz\Library\Containers\com.microsoft.Excel\Data\Documents\Desktop\AZ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K6:K12 K15:K17</xm:sqref>
        </x14:conditionalFormatting>
        <x14:conditionalFormatting xmlns:xm="http://schemas.microsoft.com/office/excel/2006/main">
          <x14:cfRule type="expression" priority="3" id="{27DDD851-027E-412B-A02E-23EB3057E7D6}">
            <xm:f>MATCH(K13:CB99,'i:\My Documents\AZ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K13</xm:sqref>
        </x14:conditionalFormatting>
        <x14:conditionalFormatting xmlns:xm="http://schemas.microsoft.com/office/excel/2006/main">
          <x14:cfRule type="expression" priority="2" id="{BFA1EF35-4D2B-40E5-81B1-7E0474FCA2C3}">
            <xm:f>MATCH(J6:CA92,'i:\Users\mattruetz\Library\Containers\com.microsoft.Excel\Data\Documents\Desktop\AZ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J6:J12 J15:J21</xm:sqref>
        </x14:conditionalFormatting>
        <x14:conditionalFormatting xmlns:xm="http://schemas.microsoft.com/office/excel/2006/main">
          <x14:cfRule type="expression" priority="1" id="{6C578D08-0DC1-40A7-B6F8-1759764754CD}">
            <xm:f>MATCH(J13:CA99,'i:\My Documents\AZ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J13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A1:ERR25"/>
  <sheetViews>
    <sheetView zoomScale="70" zoomScaleNormal="70" workbookViewId="0">
      <selection activeCell="J5" sqref="J5:O21"/>
    </sheetView>
  </sheetViews>
  <sheetFormatPr defaultColWidth="9.1796875" defaultRowHeight="13" x14ac:dyDescent="0.3"/>
  <cols>
    <col min="1" max="1" width="8" style="1" customWidth="1"/>
    <col min="2" max="3" width="25.7265625" style="1" customWidth="1"/>
    <col min="4" max="4" width="0.81640625" style="1" customWidth="1"/>
    <col min="5" max="5" width="8" style="1" customWidth="1"/>
    <col min="6" max="6" width="4.453125" style="1" customWidth="1"/>
    <col min="7" max="7" width="17.1796875" style="1" customWidth="1"/>
    <col min="8" max="8" width="17.26953125" style="1" customWidth="1"/>
    <col min="9" max="9" width="2" style="1" customWidth="1"/>
    <col min="10" max="15" width="9.1796875" style="1"/>
    <col min="16" max="17" width="0" style="1" hidden="1" customWidth="1"/>
    <col min="18" max="18" width="11.81640625" style="1" hidden="1" customWidth="1"/>
    <col min="19" max="22" width="9.1796875" style="1"/>
    <col min="23" max="23" width="35.453125" style="1" customWidth="1"/>
    <col min="24" max="16384" width="9.1796875" style="1"/>
  </cols>
  <sheetData>
    <row r="1" spans="1:24 3866:3866" ht="32.25" customHeight="1" x14ac:dyDescent="0.3">
      <c r="A1" s="77" t="s">
        <v>10</v>
      </c>
      <c r="B1" s="78"/>
      <c r="C1" s="78"/>
      <c r="D1" s="78"/>
      <c r="E1" s="78"/>
      <c r="F1" s="78"/>
      <c r="G1" s="78"/>
      <c r="H1" s="79"/>
    </row>
    <row r="2" spans="1:24 3866:3866" x14ac:dyDescent="0.3">
      <c r="A2" s="4"/>
      <c r="B2" s="80"/>
      <c r="C2" s="81"/>
      <c r="D2" s="3"/>
      <c r="E2" s="3"/>
      <c r="F2" s="3"/>
      <c r="G2" s="3"/>
      <c r="H2" s="5"/>
    </row>
    <row r="3" spans="1:24 3866:3866" ht="3" customHeight="1" x14ac:dyDescent="0.3">
      <c r="A3" s="4"/>
      <c r="B3" s="84"/>
      <c r="C3" s="85"/>
      <c r="D3" s="86"/>
      <c r="E3" s="3"/>
      <c r="F3" s="3"/>
      <c r="G3" s="3"/>
      <c r="H3" s="5"/>
    </row>
    <row r="4" spans="1:24 3866:3866" ht="44.25" customHeight="1" thickBot="1" x14ac:dyDescent="0.35">
      <c r="A4" s="4"/>
      <c r="B4" s="40"/>
      <c r="C4" s="47"/>
      <c r="D4" s="2"/>
      <c r="E4" s="83"/>
      <c r="F4" s="7"/>
      <c r="G4" s="6" t="s">
        <v>2</v>
      </c>
      <c r="H4" s="41"/>
    </row>
    <row r="5" spans="1:24 3866:3866" ht="44.25" customHeight="1" thickBot="1" x14ac:dyDescent="0.35">
      <c r="A5" s="4"/>
      <c r="B5" s="40"/>
      <c r="C5" s="47"/>
      <c r="D5" s="2"/>
      <c r="E5" s="83"/>
      <c r="F5" s="7"/>
      <c r="G5" s="6" t="s">
        <v>1</v>
      </c>
      <c r="H5" s="42"/>
      <c r="J5" s="44"/>
      <c r="K5" s="44" t="s">
        <v>13</v>
      </c>
      <c r="L5" s="11" t="s">
        <v>15</v>
      </c>
      <c r="M5" s="11"/>
      <c r="N5" s="12"/>
      <c r="O5" s="12" t="s">
        <v>16</v>
      </c>
      <c r="P5" s="12" t="s">
        <v>17</v>
      </c>
      <c r="Q5" s="12" t="s">
        <v>18</v>
      </c>
      <c r="R5" s="12" t="s">
        <v>19</v>
      </c>
      <c r="W5" s="34"/>
      <c r="X5" s="33"/>
    </row>
    <row r="6" spans="1:24 3866:3866" ht="44.25" customHeight="1" thickBot="1" x14ac:dyDescent="0.55000000000000004">
      <c r="A6" s="4"/>
      <c r="B6" s="47"/>
      <c r="C6" s="46"/>
      <c r="D6" s="2"/>
      <c r="E6" s="83"/>
      <c r="F6" s="7"/>
      <c r="G6" s="6" t="s">
        <v>0</v>
      </c>
      <c r="H6" s="43"/>
      <c r="J6" s="70"/>
      <c r="K6" s="65"/>
      <c r="L6" s="62"/>
      <c r="M6" s="63"/>
      <c r="N6" s="63"/>
      <c r="O6" s="15">
        <f t="shared" ref="O6:O12" si="0">K6/7</f>
        <v>0</v>
      </c>
      <c r="P6" s="14">
        <f>ROUND(O6,0)</f>
        <v>0</v>
      </c>
      <c r="Q6" s="14">
        <f>P6*7</f>
        <v>0</v>
      </c>
      <c r="R6" s="13">
        <f>K10-Q6</f>
        <v>0</v>
      </c>
      <c r="W6" s="34"/>
      <c r="X6" s="33"/>
    </row>
    <row r="7" spans="1:24 3866:3866" ht="44.25" customHeight="1" x14ac:dyDescent="0.5">
      <c r="A7" s="4"/>
      <c r="B7" s="47"/>
      <c r="C7" s="46"/>
      <c r="D7" s="2"/>
      <c r="E7" s="83"/>
      <c r="F7" s="7"/>
      <c r="G7" s="6"/>
      <c r="H7" s="29"/>
      <c r="J7" s="70"/>
      <c r="K7" s="64"/>
      <c r="L7" s="62"/>
      <c r="M7" s="63"/>
      <c r="N7" s="63"/>
      <c r="O7" s="15">
        <f t="shared" si="0"/>
        <v>0</v>
      </c>
      <c r="P7" s="14"/>
      <c r="Q7" s="14"/>
      <c r="R7" s="13"/>
      <c r="W7" s="34"/>
      <c r="X7" s="33"/>
    </row>
    <row r="8" spans="1:24 3866:3866" ht="44.25" customHeight="1" x14ac:dyDescent="0.5">
      <c r="A8" s="4"/>
      <c r="B8" s="47"/>
      <c r="C8" s="47"/>
      <c r="D8" s="2"/>
      <c r="E8" s="83"/>
      <c r="F8" s="8"/>
      <c r="G8" s="87" t="s">
        <v>3</v>
      </c>
      <c r="H8" s="88"/>
      <c r="J8" s="70"/>
      <c r="K8" s="64"/>
      <c r="L8" s="62"/>
      <c r="M8" s="63"/>
      <c r="N8" s="63"/>
      <c r="O8" s="15">
        <f t="shared" si="0"/>
        <v>0</v>
      </c>
      <c r="P8" s="14">
        <f t="shared" ref="P8:P15" si="1">ROUND(O8,0)</f>
        <v>0</v>
      </c>
      <c r="Q8" s="14">
        <f t="shared" ref="Q8:Q15" si="2">P8*7</f>
        <v>0</v>
      </c>
      <c r="R8" s="13">
        <f>K8-Q8</f>
        <v>0</v>
      </c>
      <c r="U8" s="30"/>
    </row>
    <row r="9" spans="1:24 3866:3866" ht="44.25" customHeight="1" x14ac:dyDescent="0.5">
      <c r="A9" s="4"/>
      <c r="B9" s="47"/>
      <c r="C9" s="47"/>
      <c r="D9" s="2"/>
      <c r="E9" s="83"/>
      <c r="F9" s="7"/>
      <c r="G9" s="35" t="s">
        <v>6</v>
      </c>
      <c r="H9" s="17" t="s">
        <v>4</v>
      </c>
      <c r="J9" s="70"/>
      <c r="K9" s="64"/>
      <c r="L9" s="62"/>
      <c r="M9" s="63"/>
      <c r="N9" s="63"/>
      <c r="O9" s="15">
        <f t="shared" si="0"/>
        <v>0</v>
      </c>
      <c r="P9" s="14">
        <f t="shared" si="1"/>
        <v>0</v>
      </c>
      <c r="Q9" s="14">
        <f t="shared" si="2"/>
        <v>0</v>
      </c>
      <c r="R9" s="13">
        <f>K9-Q9</f>
        <v>0</v>
      </c>
      <c r="U9" s="31"/>
    </row>
    <row r="10" spans="1:24 3866:3866" ht="44.25" customHeight="1" x14ac:dyDescent="0.5">
      <c r="A10" s="4"/>
      <c r="B10" s="47"/>
      <c r="C10" s="46"/>
      <c r="D10" s="2"/>
      <c r="E10" s="3"/>
      <c r="F10" s="3"/>
      <c r="G10" s="16" t="s">
        <v>5</v>
      </c>
      <c r="H10" s="35" t="s">
        <v>20</v>
      </c>
      <c r="J10" s="70"/>
      <c r="K10" s="64"/>
      <c r="L10" s="62"/>
      <c r="M10" s="63"/>
      <c r="N10" s="63"/>
      <c r="O10" s="15">
        <f t="shared" si="0"/>
        <v>0</v>
      </c>
      <c r="P10" s="14">
        <f t="shared" si="1"/>
        <v>0</v>
      </c>
      <c r="Q10" s="14">
        <f t="shared" si="2"/>
        <v>0</v>
      </c>
      <c r="R10" s="13" t="e">
        <f>#REF!-Q10</f>
        <v>#REF!</v>
      </c>
      <c r="U10" s="30"/>
    </row>
    <row r="11" spans="1:24 3866:3866" ht="44.25" customHeight="1" x14ac:dyDescent="0.5">
      <c r="A11" s="4"/>
      <c r="B11" s="46"/>
      <c r="C11" s="46"/>
      <c r="D11" s="2"/>
      <c r="E11" s="3"/>
      <c r="F11" s="3"/>
      <c r="G11" s="97" t="s">
        <v>7</v>
      </c>
      <c r="H11" s="97"/>
      <c r="J11" s="70"/>
      <c r="K11" s="64"/>
      <c r="L11" s="62"/>
      <c r="M11" s="63"/>
      <c r="N11" s="63"/>
      <c r="O11" s="15">
        <f t="shared" si="0"/>
        <v>0</v>
      </c>
      <c r="P11" s="14">
        <f t="shared" si="1"/>
        <v>0</v>
      </c>
      <c r="Q11" s="14">
        <f t="shared" si="2"/>
        <v>0</v>
      </c>
      <c r="R11" s="13">
        <f>K11-Q11</f>
        <v>0</v>
      </c>
      <c r="T11" s="50"/>
      <c r="U11" s="32"/>
    </row>
    <row r="12" spans="1:24 3866:3866" ht="44.25" customHeight="1" x14ac:dyDescent="0.5">
      <c r="A12" s="4"/>
      <c r="B12" s="46"/>
      <c r="C12" s="47"/>
      <c r="D12" s="2"/>
      <c r="E12" s="3"/>
      <c r="F12" s="3"/>
      <c r="G12" s="16" t="s">
        <v>8</v>
      </c>
      <c r="H12" s="35" t="s">
        <v>9</v>
      </c>
      <c r="J12" s="63"/>
      <c r="K12" s="64"/>
      <c r="L12" s="62"/>
      <c r="M12" s="63"/>
      <c r="N12" s="63"/>
      <c r="O12" s="15">
        <f t="shared" si="0"/>
        <v>0</v>
      </c>
      <c r="P12" s="14">
        <f t="shared" si="1"/>
        <v>0</v>
      </c>
      <c r="Q12" s="14">
        <f t="shared" si="2"/>
        <v>0</v>
      </c>
      <c r="R12" s="13" t="e">
        <f>#REF!-Q12</f>
        <v>#REF!</v>
      </c>
      <c r="U12" s="30"/>
    </row>
    <row r="13" spans="1:24 3866:3866" ht="44.25" customHeight="1" x14ac:dyDescent="0.5">
      <c r="A13" s="4"/>
      <c r="B13" s="47"/>
      <c r="C13" s="47"/>
      <c r="D13" s="2"/>
      <c r="E13" s="3"/>
      <c r="F13" s="3"/>
      <c r="G13" s="94" t="s">
        <v>11</v>
      </c>
      <c r="H13" s="94"/>
      <c r="J13" s="63"/>
      <c r="K13" s="64"/>
      <c r="L13" s="62"/>
      <c r="M13" s="63"/>
      <c r="N13" s="63"/>
      <c r="O13" s="15">
        <f>K13/7</f>
        <v>0</v>
      </c>
      <c r="P13" s="14">
        <f t="shared" si="1"/>
        <v>0</v>
      </c>
      <c r="Q13" s="14">
        <f t="shared" si="2"/>
        <v>0</v>
      </c>
      <c r="R13" s="13">
        <f>K12-Q13</f>
        <v>0</v>
      </c>
      <c r="U13" s="30"/>
    </row>
    <row r="14" spans="1:24 3866:3866" ht="44.25" customHeight="1" x14ac:dyDescent="0.5">
      <c r="A14" s="4"/>
      <c r="B14" s="40"/>
      <c r="C14" s="47"/>
      <c r="D14" s="2"/>
      <c r="E14" s="3"/>
      <c r="F14" s="3"/>
      <c r="G14" s="95" t="s">
        <v>12</v>
      </c>
      <c r="H14" s="95"/>
      <c r="J14" s="63"/>
      <c r="K14" s="64"/>
      <c r="L14" s="62"/>
      <c r="M14" s="63"/>
      <c r="N14" s="63"/>
      <c r="O14" s="15">
        <f>K14/7</f>
        <v>0</v>
      </c>
      <c r="P14" s="14">
        <f t="shared" si="1"/>
        <v>0</v>
      </c>
      <c r="Q14" s="14">
        <f t="shared" si="2"/>
        <v>0</v>
      </c>
      <c r="R14" s="13">
        <f>K13-Q14</f>
        <v>0</v>
      </c>
      <c r="U14" s="30"/>
    </row>
    <row r="15" spans="1:24 3866:3866" ht="44.25" customHeight="1" x14ac:dyDescent="0.5">
      <c r="A15" s="4"/>
      <c r="B15" s="46"/>
      <c r="C15" s="40"/>
      <c r="D15" s="2"/>
      <c r="E15" s="3"/>
      <c r="F15" s="3"/>
      <c r="G15" s="91" t="s">
        <v>14</v>
      </c>
      <c r="H15" s="91"/>
      <c r="J15" s="63"/>
      <c r="K15" s="65"/>
      <c r="L15" s="66"/>
      <c r="M15" s="63"/>
      <c r="N15" s="63"/>
      <c r="O15" s="15">
        <f>K15/7</f>
        <v>0</v>
      </c>
      <c r="P15" s="14">
        <f t="shared" si="1"/>
        <v>0</v>
      </c>
      <c r="Q15" s="14">
        <f t="shared" si="2"/>
        <v>0</v>
      </c>
      <c r="R15" s="13">
        <f>K15-Q15</f>
        <v>0</v>
      </c>
      <c r="U15" s="30"/>
    </row>
    <row r="16" spans="1:24 3866:3866" ht="44.25" customHeight="1" x14ac:dyDescent="0.5">
      <c r="A16" s="4"/>
      <c r="B16" s="40"/>
      <c r="C16" s="40"/>
      <c r="D16" s="2"/>
      <c r="E16" s="3"/>
      <c r="F16" s="3"/>
      <c r="G16" s="91" t="s">
        <v>14</v>
      </c>
      <c r="H16" s="91"/>
      <c r="J16" s="63"/>
      <c r="K16" s="67"/>
      <c r="L16" s="68"/>
      <c r="M16" s="63"/>
      <c r="N16" s="63"/>
      <c r="O16" s="15">
        <f>K16/7</f>
        <v>0</v>
      </c>
      <c r="P16" s="14">
        <f>ROUND(O16,0)</f>
        <v>0</v>
      </c>
      <c r="Q16" s="14">
        <f>P16*7</f>
        <v>0</v>
      </c>
      <c r="R16" s="13">
        <f>K16-Q16</f>
        <v>0</v>
      </c>
      <c r="U16" s="30"/>
      <c r="ERR16" s="49"/>
    </row>
    <row r="17" spans="1:21" ht="21" customHeight="1" x14ac:dyDescent="0.5">
      <c r="A17" s="92"/>
      <c r="B17" s="96"/>
      <c r="C17" s="93"/>
      <c r="D17" s="93"/>
      <c r="E17" s="93"/>
      <c r="F17" s="93"/>
      <c r="G17" s="93"/>
      <c r="H17" s="93"/>
      <c r="J17" s="63"/>
      <c r="K17" s="67"/>
      <c r="L17" s="63"/>
      <c r="M17" s="63"/>
      <c r="N17" s="63"/>
      <c r="O17" s="15">
        <f t="shared" ref="O17:O21" si="3">K17/7</f>
        <v>0</v>
      </c>
      <c r="U17" s="30"/>
    </row>
    <row r="18" spans="1:21" ht="21.75" customHeight="1" x14ac:dyDescent="0.5">
      <c r="A18" s="9"/>
      <c r="B18" s="10"/>
      <c r="C18" s="10"/>
      <c r="D18" s="10"/>
      <c r="E18" s="10"/>
      <c r="F18" s="10"/>
      <c r="G18" s="25"/>
      <c r="H18" s="26"/>
      <c r="J18" s="63"/>
      <c r="K18" s="64"/>
      <c r="L18" s="63"/>
      <c r="M18" s="63"/>
      <c r="N18" s="63"/>
      <c r="O18" s="15">
        <f t="shared" si="3"/>
        <v>0</v>
      </c>
    </row>
    <row r="19" spans="1:21" ht="21.75" customHeight="1" x14ac:dyDescent="0.5">
      <c r="A19" s="4"/>
      <c r="B19" s="3"/>
      <c r="C19" s="3"/>
      <c r="D19" s="3"/>
      <c r="E19" s="3"/>
      <c r="F19" s="3"/>
      <c r="G19" s="3"/>
      <c r="H19" s="5"/>
      <c r="J19" s="63"/>
      <c r="K19" s="64"/>
      <c r="L19" s="66"/>
      <c r="M19" s="63"/>
      <c r="N19" s="63"/>
      <c r="O19" s="15">
        <f t="shared" si="3"/>
        <v>0</v>
      </c>
    </row>
    <row r="20" spans="1:21" ht="21.75" customHeight="1" x14ac:dyDescent="0.5">
      <c r="A20" s="4"/>
      <c r="B20" s="3"/>
      <c r="C20" s="3"/>
      <c r="D20" s="3"/>
      <c r="E20" s="3"/>
      <c r="F20" s="3"/>
      <c r="G20" s="19"/>
      <c r="H20" s="18"/>
      <c r="J20" s="63"/>
      <c r="K20" s="64"/>
      <c r="L20" s="66"/>
      <c r="M20" s="63"/>
      <c r="N20" s="63"/>
      <c r="O20" s="15">
        <f t="shared" si="3"/>
        <v>0</v>
      </c>
    </row>
    <row r="21" spans="1:21" ht="21.75" customHeight="1" x14ac:dyDescent="0.5">
      <c r="A21" s="20"/>
      <c r="B21" s="23"/>
      <c r="C21" s="23"/>
      <c r="D21" s="23"/>
      <c r="E21" s="23"/>
      <c r="F21" s="23"/>
      <c r="G21" s="23"/>
      <c r="H21" s="21"/>
      <c r="J21" s="63"/>
      <c r="K21" s="69"/>
      <c r="L21" s="66"/>
      <c r="M21" s="63"/>
      <c r="N21" s="63"/>
      <c r="O21" s="15">
        <f t="shared" si="3"/>
        <v>0</v>
      </c>
    </row>
    <row r="22" spans="1:21" ht="21" customHeight="1" x14ac:dyDescent="0.3">
      <c r="A22" s="20"/>
      <c r="B22" s="23"/>
      <c r="C22" s="23"/>
      <c r="D22" s="23"/>
      <c r="E22" s="23"/>
      <c r="F22" s="23"/>
      <c r="G22" s="23"/>
      <c r="H22" s="21"/>
    </row>
    <row r="23" spans="1:21" ht="21" customHeight="1" x14ac:dyDescent="0.3">
      <c r="A23" s="27"/>
      <c r="B23" s="28"/>
      <c r="C23" s="28"/>
      <c r="D23" s="28"/>
      <c r="E23" s="28"/>
      <c r="F23" s="28"/>
      <c r="G23" s="24"/>
      <c r="H23" s="22"/>
    </row>
    <row r="24" spans="1:21" ht="21" customHeight="1" x14ac:dyDescent="0.3">
      <c r="A24" s="71"/>
      <c r="B24" s="72"/>
      <c r="C24" s="72"/>
      <c r="D24" s="72"/>
      <c r="E24" s="72"/>
      <c r="F24" s="72"/>
      <c r="G24" s="72"/>
      <c r="H24" s="73"/>
    </row>
    <row r="25" spans="1:21" ht="21" customHeight="1" x14ac:dyDescent="0.3">
      <c r="A25" s="74"/>
      <c r="B25" s="75"/>
      <c r="C25" s="75"/>
      <c r="D25" s="75"/>
      <c r="E25" s="75"/>
      <c r="F25" s="75"/>
      <c r="G25" s="75"/>
      <c r="H25" s="76"/>
    </row>
  </sheetData>
  <mergeCells count="13">
    <mergeCell ref="G11:H11"/>
    <mergeCell ref="A1:H1"/>
    <mergeCell ref="B2:C2"/>
    <mergeCell ref="B3:D3"/>
    <mergeCell ref="E4:E9"/>
    <mergeCell ref="G8:H8"/>
    <mergeCell ref="A24:H24"/>
    <mergeCell ref="A25:H25"/>
    <mergeCell ref="G13:H13"/>
    <mergeCell ref="G14:H14"/>
    <mergeCell ref="G15:H15"/>
    <mergeCell ref="G16:H16"/>
    <mergeCell ref="A17:H17"/>
  </mergeCells>
  <printOptions horizontalCentered="1"/>
  <pageMargins left="0" right="0" top="0" bottom="0" header="0.31496062992125984" footer="0.31496062992125984"/>
  <pageSetup scale="97" fitToWidth="2" fitToHeight="2" orientation="portrait" r:id="rId1"/>
  <headerFooter alignWithMargins="0"/>
  <rowBreaks count="1" manualBreakCount="1">
    <brk id="25" max="7" man="1"/>
  </rowBreaks>
  <drawing r:id="rId2"/>
  <legacyDrawing r:id="rId3"/>
  <oleObjects>
    <mc:AlternateContent xmlns:mc="http://schemas.openxmlformats.org/markup-compatibility/2006">
      <mc:Choice Requires="x14">
        <oleObject progId="Word.Document.8" shapeId="17409" r:id="rId4">
          <objectPr defaultSize="0" r:id="rId5">
            <anchor moveWithCells="1">
              <from>
                <xdr:col>0</xdr:col>
                <xdr:colOff>31750</xdr:colOff>
                <xdr:row>25</xdr:row>
                <xdr:rowOff>0</xdr:rowOff>
              </from>
              <to>
                <xdr:col>7</xdr:col>
                <xdr:colOff>1060450</xdr:colOff>
                <xdr:row>85</xdr:row>
                <xdr:rowOff>152400</xdr:rowOff>
              </to>
            </anchor>
          </objectPr>
        </oleObject>
      </mc:Choice>
      <mc:Fallback>
        <oleObject progId="Word.Document.8" shapeId="17409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6" name="Button 2">
              <controlPr defaultSize="0" print="0" autoFill="0" autoPict="0" macro="[0]!_xludf.Clear">
                <anchor moveWithCells="1" sizeWithCells="1">
                  <from>
                    <xdr:col>8</xdr:col>
                    <xdr:colOff>127000</xdr:colOff>
                    <xdr:row>0</xdr:row>
                    <xdr:rowOff>0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7" name="Button 3">
              <controlPr defaultSize="0" print="0" autoFill="0" autoPict="0" macro="[0]!_xludf.Font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13</xdr:col>
                    <xdr:colOff>12700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8" name="Button 4">
              <controlPr defaultSize="0" print="0" autoFill="0" autoPict="0" macro="[0]!BWClear">
                <anchor moveWithCells="1" sizeWithCells="1">
                  <from>
                    <xdr:col>13</xdr:col>
                    <xdr:colOff>12700</xdr:colOff>
                    <xdr:row>0</xdr:row>
                    <xdr:rowOff>0</xdr:rowOff>
                  </from>
                  <to>
                    <xdr:col>18</xdr:col>
                    <xdr:colOff>165100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9" name="Button 5">
              <controlPr defaultSize="0" print="0" autoFill="0" autoPict="0" macro="[0]!BWAdd">
                <anchor moveWithCells="1" sizeWithCells="1">
                  <from>
                    <xdr:col>18</xdr:col>
                    <xdr:colOff>190500</xdr:colOff>
                    <xdr:row>0</xdr:row>
                    <xdr:rowOff>0</xdr:rowOff>
                  </from>
                  <to>
                    <xdr:col>20</xdr:col>
                    <xdr:colOff>355600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10" name="Button 7">
              <controlPr defaultSize="0" print="0" autoFill="0" autoPict="0" macro="[0]!pullBWskidsToBack">
                <anchor moveWithCells="1" sizeWithCells="1">
                  <from>
                    <xdr:col>19</xdr:col>
                    <xdr:colOff>361950</xdr:colOff>
                    <xdr:row>8</xdr:row>
                    <xdr:rowOff>209550</xdr:rowOff>
                  </from>
                  <to>
                    <xdr:col>21</xdr:col>
                    <xdr:colOff>374650</xdr:colOff>
                    <xdr:row>9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1" name="Button 8">
              <controlPr defaultSize="0" print="0" autoFill="0" autoPict="0" macro="[0]!_xludf.Clear">
                <anchor moveWithCells="1" sizeWithCells="1">
                  <from>
                    <xdr:col>8</xdr:col>
                    <xdr:colOff>127000</xdr:colOff>
                    <xdr:row>0</xdr:row>
                    <xdr:rowOff>0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7" r:id="rId12" name="Button 9">
              <controlPr defaultSize="0" print="0" autoFill="0" autoPict="0" macro="[0]!_xludf.Font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13</xdr:col>
                    <xdr:colOff>12700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9" r:id="rId13" name="Button 21">
              <controlPr defaultSize="0" print="0" autoFill="0" autoPict="0" macro="[0]!Mail_and_reset">
                <anchor moveWithCells="1" sizeWithCells="1">
                  <from>
                    <xdr:col>19</xdr:col>
                    <xdr:colOff>381000</xdr:colOff>
                    <xdr:row>10</xdr:row>
                    <xdr:rowOff>127000</xdr:rowOff>
                  </from>
                  <to>
                    <xdr:col>22</xdr:col>
                    <xdr:colOff>146050</xdr:colOff>
                    <xdr:row>11</xdr:row>
                    <xdr:rowOff>374650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2" id="{DCEF5F04-6186-4357-869E-6F7DECC9A4DD}">
            <xm:f>MATCH(B14:BS100,'i:\Users\mattruetz\Library\Containers\com.microsoft.Excel\Data\Documents\Desktop\AZ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B14</xm:sqref>
        </x14:conditionalFormatting>
        <x14:conditionalFormatting xmlns:xm="http://schemas.microsoft.com/office/excel/2006/main">
          <x14:cfRule type="expression" priority="41" id="{8A00E171-0299-4A85-A9F6-6620D91BB0D1}">
            <xm:f>MATCH(B14:BS100,'i:\Users\mattruetz\Library\Containers\com.microsoft.Excel\Data\Documents\Desktop\AZ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B14</xm:sqref>
        </x14:conditionalFormatting>
        <x14:conditionalFormatting xmlns:xm="http://schemas.microsoft.com/office/excel/2006/main">
          <x14:cfRule type="expression" priority="40" id="{B86808D4-A64D-49FC-A723-23A61AB3604A}">
            <xm:f>MATCH(B14:BS100,'i:\Users\mattruetz\Library\Containers\com.microsoft.Excel\Data\Documents\Desktop\AZ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B14</xm:sqref>
        </x14:conditionalFormatting>
        <x14:conditionalFormatting xmlns:xm="http://schemas.microsoft.com/office/excel/2006/main">
          <x14:cfRule type="expression" priority="39" id="{18754A06-E187-4DF7-A0CA-7CBF1C0CA77F}">
            <xm:f>MATCH(B14:BS100,'i:\Users\mattruetz\Library\Containers\com.microsoft.Excel\Data\Documents\Desktop\AZ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B14</xm:sqref>
        </x14:conditionalFormatting>
        <x14:conditionalFormatting xmlns:xm="http://schemas.microsoft.com/office/excel/2006/main">
          <x14:cfRule type="expression" priority="24" id="{3BBD2345-7E69-43D8-9C74-F0307A0A61F0}">
            <xm:f>MATCH(C15:BT101,'i:\Users\mattruetz\Library\Containers\com.microsoft.Excel\Data\Documents\Desktop\AZ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C15</xm:sqref>
        </x14:conditionalFormatting>
        <x14:conditionalFormatting xmlns:xm="http://schemas.microsoft.com/office/excel/2006/main">
          <x14:cfRule type="expression" priority="23" id="{7137563E-4AF6-4D24-BE72-00E6BDC86C1C}">
            <xm:f>MATCH(C15:BT101,'i:\Users\mattruetz\Library\Containers\com.microsoft.Excel\Data\Documents\Desktop\AZ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C15</xm:sqref>
        </x14:conditionalFormatting>
        <x14:conditionalFormatting xmlns:xm="http://schemas.microsoft.com/office/excel/2006/main">
          <x14:cfRule type="expression" priority="19" id="{33CABA14-6560-46D4-AD84-987784D5408D}">
            <xm:f>MATCH(C14:BT100,'i:\Users\mattruetz\Library\Containers\com.microsoft.Excel\Data\Documents\Desktop\AZ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C14</xm:sqref>
        </x14:conditionalFormatting>
        <x14:conditionalFormatting xmlns:xm="http://schemas.microsoft.com/office/excel/2006/main">
          <x14:cfRule type="expression" priority="13" id="{5FB8FFCA-F8C6-44CA-AA3D-F80FDC5D82FC}">
            <xm:f>MATCH(C13:BT99,'i:\Users\mattruetz\Library\Containers\com.microsoft.Excel\Data\Documents\Desktop\AZ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C13</xm:sqref>
        </x14:conditionalFormatting>
        <x14:conditionalFormatting xmlns:xm="http://schemas.microsoft.com/office/excel/2006/main">
          <x14:cfRule type="expression" priority="12" id="{8A2F0A6C-121C-4122-B750-DD889E716034}">
            <xm:f>MATCH(B13:BS99,'i:\Users\mattruetz\Library\Containers\com.microsoft.Excel\Data\Documents\Desktop\AZ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B13</xm:sqref>
        </x14:conditionalFormatting>
        <x14:conditionalFormatting xmlns:xm="http://schemas.microsoft.com/office/excel/2006/main">
          <x14:cfRule type="expression" priority="11" id="{602E9335-DDD5-4221-8BE4-DC9794A44BC3}">
            <xm:f>MATCH(B4:BS90,'i:\Users\mattruetz\Library\Containers\com.microsoft.Excel\Data\Documents\Desktop\AZ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B4:C12</xm:sqref>
        </x14:conditionalFormatting>
        <x14:conditionalFormatting xmlns:xm="http://schemas.microsoft.com/office/excel/2006/main">
          <x14:cfRule type="expression" priority="10" id="{5CF715B2-1896-4778-A90B-C0F7EECB68A2}">
            <xm:f>MATCH(C12:BT98,'i:\Users\mattruetz\Library\Containers\com.microsoft.Excel\Data\Documents\Desktop\AZ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C12</xm:sqref>
        </x14:conditionalFormatting>
        <x14:conditionalFormatting xmlns:xm="http://schemas.microsoft.com/office/excel/2006/main">
          <x14:cfRule type="expression" priority="9" id="{A76E82DD-C98A-4987-A8D1-5BF2394781F8}">
            <xm:f>MATCH(B15:BS101,'i:\Users\mattruetz\Library\Containers\com.microsoft.Excel\Data\Documents\Desktop\AZ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B15</xm:sqref>
        </x14:conditionalFormatting>
        <x14:conditionalFormatting xmlns:xm="http://schemas.microsoft.com/office/excel/2006/main">
          <x14:cfRule type="expression" priority="8" id="{D7361B50-AEFC-4E8B-B242-ED618D7D01A3}">
            <xm:f>MATCH(K6:CB92,'i:\Users\mattruetz\Library\Containers\com.microsoft.Excel\Data\Documents\Desktop\AZ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N6:N21 K18:M21 M6:M16 L17:M17</xm:sqref>
        </x14:conditionalFormatting>
        <x14:conditionalFormatting xmlns:xm="http://schemas.microsoft.com/office/excel/2006/main">
          <x14:cfRule type="expression" priority="7" id="{799C0EA4-6EDD-43F6-96A3-422C5F9461E4}">
            <xm:f>MATCH(L16:CC102,'i:\Users\mattruetz\Library\Containers\com.microsoft.Excel\Data\Documents\Desktop\AZ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L16</xm:sqref>
        </x14:conditionalFormatting>
        <x14:conditionalFormatting xmlns:xm="http://schemas.microsoft.com/office/excel/2006/main">
          <x14:cfRule type="expression" priority="6" id="{430F7D9E-A573-4F14-A4F9-EC40D0438DF8}">
            <xm:f>MATCH(L6:CC92,'i:\Users\mattruetz\Library\Containers\com.microsoft.Excel\Data\Documents\Desktop\AZ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L6:L8 L10:L15</xm:sqref>
        </x14:conditionalFormatting>
        <x14:conditionalFormatting xmlns:xm="http://schemas.microsoft.com/office/excel/2006/main">
          <x14:cfRule type="expression" priority="5" id="{9EA94CAD-6BC8-48A0-8A23-D68DC16355F7}">
            <xm:f>MATCH(L9:CC95,'i:\Users\mattruetz\Library\Containers\com.microsoft.Excel\Data\Documents\Desktop\AZ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L9</xm:sqref>
        </x14:conditionalFormatting>
        <x14:conditionalFormatting xmlns:xm="http://schemas.microsoft.com/office/excel/2006/main">
          <x14:cfRule type="expression" priority="4" id="{8B147758-D9DC-42A3-8F89-93F5E96EFE71}">
            <xm:f>MATCH(K6:CB92,'i:\Users\mattruetz\Library\Containers\com.microsoft.Excel\Data\Documents\Desktop\AZ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K6:K12 K15:K17</xm:sqref>
        </x14:conditionalFormatting>
        <x14:conditionalFormatting xmlns:xm="http://schemas.microsoft.com/office/excel/2006/main">
          <x14:cfRule type="expression" priority="3" id="{DAEB8AED-0ED4-4D7A-9DFB-3A7D67565D3F}">
            <xm:f>MATCH(K13:CB99,'i:\My Documents\AZ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K13</xm:sqref>
        </x14:conditionalFormatting>
        <x14:conditionalFormatting xmlns:xm="http://schemas.microsoft.com/office/excel/2006/main">
          <x14:cfRule type="expression" priority="2" id="{2F8F4E56-50C5-4597-A4C4-C3B53B717680}">
            <xm:f>MATCH(J6:CA92,'i:\Users\mattruetz\Library\Containers\com.microsoft.Excel\Data\Documents\Desktop\AZ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J6:J12 J15:J21</xm:sqref>
        </x14:conditionalFormatting>
        <x14:conditionalFormatting xmlns:xm="http://schemas.microsoft.com/office/excel/2006/main">
          <x14:cfRule type="expression" priority="1" id="{66D68A79-F9B5-47BA-9C02-5A443BDCB318}">
            <xm:f>MATCH(J13:CA99,'i:\My Documents\AZ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J13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pageSetUpPr fitToPage="1"/>
  </sheetPr>
  <dimension ref="A1:ERQ25"/>
  <sheetViews>
    <sheetView zoomScale="70" zoomScaleNormal="70" workbookViewId="0">
      <selection activeCell="Y20" sqref="Y20"/>
    </sheetView>
  </sheetViews>
  <sheetFormatPr defaultColWidth="9.1796875" defaultRowHeight="13" x14ac:dyDescent="0.3"/>
  <cols>
    <col min="1" max="1" width="8" style="1" customWidth="1"/>
    <col min="2" max="3" width="25.7265625" style="1" customWidth="1"/>
    <col min="4" max="4" width="0.81640625" style="1" customWidth="1"/>
    <col min="5" max="5" width="8" style="1" customWidth="1"/>
    <col min="6" max="6" width="4.453125" style="1" customWidth="1"/>
    <col min="7" max="7" width="17.1796875" style="1" customWidth="1"/>
    <col min="8" max="8" width="17.26953125" style="1" customWidth="1"/>
    <col min="9" max="9" width="2" style="1" customWidth="1"/>
    <col min="10" max="15" width="9.1796875" style="1"/>
    <col min="16" max="17" width="0" style="1" hidden="1" customWidth="1"/>
    <col min="18" max="18" width="11.81640625" style="1" hidden="1" customWidth="1"/>
    <col min="19" max="22" width="9.1796875" style="1"/>
    <col min="23" max="23" width="35.453125" style="1" customWidth="1"/>
    <col min="24" max="16384" width="9.1796875" style="1"/>
  </cols>
  <sheetData>
    <row r="1" spans="1:24 3865:3865" ht="32.25" customHeight="1" x14ac:dyDescent="0.3">
      <c r="A1" s="77" t="s">
        <v>10</v>
      </c>
      <c r="B1" s="78"/>
      <c r="C1" s="78"/>
      <c r="D1" s="78"/>
      <c r="E1" s="78"/>
      <c r="F1" s="78"/>
      <c r="G1" s="78"/>
      <c r="H1" s="79"/>
    </row>
    <row r="2" spans="1:24 3865:3865" x14ac:dyDescent="0.3">
      <c r="A2" s="4"/>
      <c r="B2" s="80"/>
      <c r="C2" s="81"/>
      <c r="D2" s="3"/>
      <c r="E2" s="3"/>
      <c r="F2" s="3"/>
      <c r="G2" s="3"/>
      <c r="H2" s="5"/>
    </row>
    <row r="3" spans="1:24 3865:3865" ht="3" customHeight="1" x14ac:dyDescent="0.3">
      <c r="A3" s="4"/>
      <c r="B3" s="84"/>
      <c r="C3" s="85"/>
      <c r="D3" s="86"/>
      <c r="E3" s="3"/>
      <c r="F3" s="3"/>
      <c r="G3" s="3"/>
      <c r="H3" s="5"/>
    </row>
    <row r="4" spans="1:24 3865:3865" ht="44.25" customHeight="1" thickBot="1" x14ac:dyDescent="0.35">
      <c r="A4" s="4"/>
      <c r="B4" s="40"/>
      <c r="C4" s="47"/>
      <c r="D4" s="2"/>
      <c r="E4" s="83"/>
      <c r="F4" s="7"/>
      <c r="G4" s="6" t="s">
        <v>2</v>
      </c>
      <c r="H4" s="41"/>
    </row>
    <row r="5" spans="1:24 3865:3865" ht="44.25" customHeight="1" thickBot="1" x14ac:dyDescent="0.35">
      <c r="A5" s="4"/>
      <c r="B5" s="40"/>
      <c r="C5" s="47"/>
      <c r="D5" s="2"/>
      <c r="E5" s="83"/>
      <c r="F5" s="7"/>
      <c r="G5" s="6" t="s">
        <v>1</v>
      </c>
      <c r="H5" s="42"/>
      <c r="J5" s="44"/>
      <c r="K5" s="44" t="s">
        <v>13</v>
      </c>
      <c r="L5" s="11" t="s">
        <v>15</v>
      </c>
      <c r="M5" s="11"/>
      <c r="N5" s="12"/>
      <c r="O5" s="12" t="s">
        <v>16</v>
      </c>
      <c r="P5" s="12" t="s">
        <v>17</v>
      </c>
      <c r="Q5" s="12" t="s">
        <v>18</v>
      </c>
      <c r="R5" s="12" t="s">
        <v>19</v>
      </c>
      <c r="W5" s="34"/>
      <c r="X5" s="33"/>
    </row>
    <row r="6" spans="1:24 3865:3865" ht="44.25" customHeight="1" thickBot="1" x14ac:dyDescent="0.55000000000000004">
      <c r="A6" s="4"/>
      <c r="B6" s="47"/>
      <c r="C6" s="47"/>
      <c r="D6" s="2"/>
      <c r="E6" s="83"/>
      <c r="F6" s="7"/>
      <c r="G6" s="6" t="s">
        <v>0</v>
      </c>
      <c r="H6" s="43"/>
      <c r="J6" s="70"/>
      <c r="K6" s="65"/>
      <c r="L6" s="62"/>
      <c r="M6" s="63"/>
      <c r="N6" s="63"/>
      <c r="O6" s="15">
        <f t="shared" ref="O6:O12" si="0">K6/7</f>
        <v>0</v>
      </c>
      <c r="P6" s="14">
        <f>ROUND(O6,0)</f>
        <v>0</v>
      </c>
      <c r="Q6" s="14">
        <f>P6*7</f>
        <v>0</v>
      </c>
      <c r="R6" s="13">
        <f>K10-Q6</f>
        <v>0</v>
      </c>
      <c r="W6" s="34"/>
      <c r="X6" s="33"/>
    </row>
    <row r="7" spans="1:24 3865:3865" ht="44.25" customHeight="1" x14ac:dyDescent="0.5">
      <c r="A7" s="4"/>
      <c r="B7" s="47"/>
      <c r="C7" s="47"/>
      <c r="D7" s="2"/>
      <c r="E7" s="83"/>
      <c r="F7" s="7"/>
      <c r="G7" s="6"/>
      <c r="H7" s="29"/>
      <c r="J7" s="70"/>
      <c r="K7" s="64"/>
      <c r="L7" s="62"/>
      <c r="M7" s="63"/>
      <c r="N7" s="63"/>
      <c r="O7" s="15">
        <f t="shared" si="0"/>
        <v>0</v>
      </c>
      <c r="P7" s="14"/>
      <c r="Q7" s="14"/>
      <c r="R7" s="13"/>
      <c r="W7" s="34"/>
      <c r="X7" s="33"/>
    </row>
    <row r="8" spans="1:24 3865:3865" ht="44.25" customHeight="1" x14ac:dyDescent="0.5">
      <c r="A8" s="4"/>
      <c r="B8" s="47"/>
      <c r="C8" s="46"/>
      <c r="D8" s="2"/>
      <c r="E8" s="83"/>
      <c r="F8" s="8"/>
      <c r="G8" s="87" t="s">
        <v>3</v>
      </c>
      <c r="H8" s="88"/>
      <c r="J8" s="70"/>
      <c r="K8" s="64"/>
      <c r="L8" s="62"/>
      <c r="M8" s="63"/>
      <c r="N8" s="63"/>
      <c r="O8" s="15">
        <f t="shared" si="0"/>
        <v>0</v>
      </c>
      <c r="P8" s="14">
        <f t="shared" ref="P8:P15" si="1">ROUND(O8,0)</f>
        <v>0</v>
      </c>
      <c r="Q8" s="14">
        <f t="shared" ref="Q8:Q15" si="2">P8*7</f>
        <v>0</v>
      </c>
      <c r="R8" s="13">
        <f>K8-Q8</f>
        <v>0</v>
      </c>
      <c r="U8" s="30"/>
    </row>
    <row r="9" spans="1:24 3865:3865" ht="44.25" customHeight="1" x14ac:dyDescent="0.5">
      <c r="A9" s="4"/>
      <c r="B9" s="47"/>
      <c r="C9" s="46"/>
      <c r="D9" s="2"/>
      <c r="E9" s="83"/>
      <c r="F9" s="7"/>
      <c r="G9" s="37" t="s">
        <v>6</v>
      </c>
      <c r="H9" s="17" t="s">
        <v>4</v>
      </c>
      <c r="J9" s="70"/>
      <c r="K9" s="64"/>
      <c r="L9" s="62"/>
      <c r="M9" s="63"/>
      <c r="N9" s="63"/>
      <c r="O9" s="15">
        <f t="shared" si="0"/>
        <v>0</v>
      </c>
      <c r="P9" s="14">
        <f t="shared" si="1"/>
        <v>0</v>
      </c>
      <c r="Q9" s="14">
        <f t="shared" si="2"/>
        <v>0</v>
      </c>
      <c r="R9" s="13">
        <f>K9-Q9</f>
        <v>0</v>
      </c>
      <c r="U9" s="31"/>
    </row>
    <row r="10" spans="1:24 3865:3865" ht="44.25" customHeight="1" x14ac:dyDescent="0.5">
      <c r="A10" s="4"/>
      <c r="B10" s="46"/>
      <c r="C10" s="46"/>
      <c r="D10" s="2"/>
      <c r="E10" s="3"/>
      <c r="F10" s="3"/>
      <c r="G10" s="16" t="s">
        <v>5</v>
      </c>
      <c r="H10" s="37" t="s">
        <v>20</v>
      </c>
      <c r="J10" s="70"/>
      <c r="K10" s="64"/>
      <c r="L10" s="62"/>
      <c r="M10" s="63"/>
      <c r="N10" s="63"/>
      <c r="O10" s="15">
        <f t="shared" si="0"/>
        <v>0</v>
      </c>
      <c r="P10" s="14">
        <f t="shared" si="1"/>
        <v>0</v>
      </c>
      <c r="Q10" s="14">
        <f t="shared" si="2"/>
        <v>0</v>
      </c>
      <c r="R10" s="13" t="e">
        <f>#REF!-Q10</f>
        <v>#REF!</v>
      </c>
      <c r="U10" s="30"/>
    </row>
    <row r="11" spans="1:24 3865:3865" ht="44.25" customHeight="1" x14ac:dyDescent="0.5">
      <c r="A11" s="4"/>
      <c r="B11" s="46"/>
      <c r="C11" s="47"/>
      <c r="D11" s="2"/>
      <c r="E11" s="3"/>
      <c r="F11" s="3"/>
      <c r="G11" s="97" t="s">
        <v>7</v>
      </c>
      <c r="H11" s="97"/>
      <c r="J11" s="70"/>
      <c r="K11" s="64"/>
      <c r="L11" s="62"/>
      <c r="M11" s="63"/>
      <c r="N11" s="63"/>
      <c r="O11" s="15">
        <f t="shared" si="0"/>
        <v>0</v>
      </c>
      <c r="P11" s="14">
        <f t="shared" si="1"/>
        <v>0</v>
      </c>
      <c r="Q11" s="14">
        <f t="shared" si="2"/>
        <v>0</v>
      </c>
      <c r="R11" s="13">
        <f>K11-Q11</f>
        <v>0</v>
      </c>
      <c r="U11" s="32"/>
    </row>
    <row r="12" spans="1:24 3865:3865" ht="44.25" customHeight="1" x14ac:dyDescent="0.5">
      <c r="A12" s="4"/>
      <c r="B12" s="46"/>
      <c r="C12" s="46"/>
      <c r="D12" s="2"/>
      <c r="E12" s="3"/>
      <c r="F12" s="3"/>
      <c r="G12" s="16" t="s">
        <v>8</v>
      </c>
      <c r="H12" s="37" t="s">
        <v>9</v>
      </c>
      <c r="J12" s="63"/>
      <c r="K12" s="64"/>
      <c r="L12" s="62"/>
      <c r="M12" s="63"/>
      <c r="N12" s="63"/>
      <c r="O12" s="15">
        <f t="shared" si="0"/>
        <v>0</v>
      </c>
      <c r="P12" s="14">
        <f t="shared" si="1"/>
        <v>0</v>
      </c>
      <c r="Q12" s="14">
        <f t="shared" si="2"/>
        <v>0</v>
      </c>
      <c r="R12" s="13" t="e">
        <f>#REF!-Q12</f>
        <v>#REF!</v>
      </c>
      <c r="U12" s="30"/>
    </row>
    <row r="13" spans="1:24 3865:3865" ht="44.25" customHeight="1" x14ac:dyDescent="0.5">
      <c r="A13" s="4"/>
      <c r="B13" s="46"/>
      <c r="C13" s="46"/>
      <c r="D13" s="2"/>
      <c r="E13" s="3"/>
      <c r="F13" s="3"/>
      <c r="G13" s="94" t="s">
        <v>11</v>
      </c>
      <c r="H13" s="94"/>
      <c r="J13" s="63"/>
      <c r="K13" s="64"/>
      <c r="L13" s="62"/>
      <c r="M13" s="63"/>
      <c r="N13" s="63"/>
      <c r="O13" s="15">
        <f>K13/7</f>
        <v>0</v>
      </c>
      <c r="P13" s="14">
        <f t="shared" si="1"/>
        <v>0</v>
      </c>
      <c r="Q13" s="14">
        <f t="shared" si="2"/>
        <v>0</v>
      </c>
      <c r="R13" s="13">
        <f>K12-Q13</f>
        <v>0</v>
      </c>
      <c r="U13" s="30"/>
    </row>
    <row r="14" spans="1:24 3865:3865" ht="44.25" customHeight="1" x14ac:dyDescent="0.5">
      <c r="A14" s="4"/>
      <c r="B14" s="46"/>
      <c r="C14" s="46"/>
      <c r="D14" s="2"/>
      <c r="E14" s="3"/>
      <c r="F14" s="3"/>
      <c r="G14" s="95" t="s">
        <v>12</v>
      </c>
      <c r="H14" s="95"/>
      <c r="J14" s="63"/>
      <c r="K14" s="64"/>
      <c r="L14" s="62"/>
      <c r="M14" s="63"/>
      <c r="N14" s="63"/>
      <c r="O14" s="15">
        <f>K14/7</f>
        <v>0</v>
      </c>
      <c r="P14" s="14">
        <f t="shared" si="1"/>
        <v>0</v>
      </c>
      <c r="Q14" s="14">
        <f t="shared" si="2"/>
        <v>0</v>
      </c>
      <c r="R14" s="13">
        <f>K13-Q14</f>
        <v>0</v>
      </c>
      <c r="U14" s="30"/>
    </row>
    <row r="15" spans="1:24 3865:3865" ht="44.25" customHeight="1" x14ac:dyDescent="0.5">
      <c r="A15" s="4"/>
      <c r="B15" s="46"/>
      <c r="C15" s="46"/>
      <c r="D15" s="2"/>
      <c r="E15" s="3"/>
      <c r="F15" s="3"/>
      <c r="G15" s="91" t="s">
        <v>14</v>
      </c>
      <c r="H15" s="91"/>
      <c r="J15" s="63"/>
      <c r="K15" s="65"/>
      <c r="L15" s="66"/>
      <c r="M15" s="63"/>
      <c r="N15" s="63"/>
      <c r="O15" s="15">
        <f>K15/7</f>
        <v>0</v>
      </c>
      <c r="P15" s="14">
        <f t="shared" si="1"/>
        <v>0</v>
      </c>
      <c r="Q15" s="14">
        <f t="shared" si="2"/>
        <v>0</v>
      </c>
      <c r="R15" s="13">
        <f>K15-Q15</f>
        <v>0</v>
      </c>
      <c r="U15" s="30"/>
    </row>
    <row r="16" spans="1:24 3865:3865" ht="44.25" customHeight="1" x14ac:dyDescent="0.5">
      <c r="A16" s="4"/>
      <c r="B16" s="46"/>
      <c r="C16" s="56"/>
      <c r="D16" s="2"/>
      <c r="E16" s="3"/>
      <c r="F16" s="3"/>
      <c r="G16" s="91" t="s">
        <v>14</v>
      </c>
      <c r="H16" s="91"/>
      <c r="J16" s="63"/>
      <c r="K16" s="67"/>
      <c r="L16" s="68"/>
      <c r="M16" s="63"/>
      <c r="N16" s="63"/>
      <c r="O16" s="15">
        <f>K16/7</f>
        <v>0</v>
      </c>
      <c r="P16" s="14">
        <f>ROUND(O16,0)</f>
        <v>0</v>
      </c>
      <c r="Q16" s="14">
        <f>P16*7</f>
        <v>0</v>
      </c>
      <c r="R16" s="13">
        <f>K16-Q16</f>
        <v>0</v>
      </c>
      <c r="U16" s="30"/>
      <c r="ERQ16" s="49"/>
    </row>
    <row r="17" spans="1:21" ht="21" customHeight="1" x14ac:dyDescent="0.5">
      <c r="A17" s="92"/>
      <c r="B17" s="96"/>
      <c r="C17" s="93"/>
      <c r="D17" s="93"/>
      <c r="E17" s="93"/>
      <c r="F17" s="93"/>
      <c r="G17" s="93"/>
      <c r="H17" s="93"/>
      <c r="J17" s="63"/>
      <c r="K17" s="67"/>
      <c r="L17" s="63"/>
      <c r="M17" s="63"/>
      <c r="N17" s="63"/>
      <c r="O17" s="15">
        <f t="shared" ref="O17:O21" si="3">K17/7</f>
        <v>0</v>
      </c>
      <c r="U17" s="30"/>
    </row>
    <row r="18" spans="1:21" ht="21.75" customHeight="1" x14ac:dyDescent="0.5">
      <c r="A18" s="9"/>
      <c r="B18" s="10"/>
      <c r="C18" s="10"/>
      <c r="D18" s="10"/>
      <c r="E18" s="10"/>
      <c r="F18" s="10"/>
      <c r="G18" s="25"/>
      <c r="H18" s="26"/>
      <c r="J18" s="63"/>
      <c r="K18" s="64"/>
      <c r="L18" s="63"/>
      <c r="M18" s="63"/>
      <c r="N18" s="63"/>
      <c r="O18" s="15">
        <f t="shared" si="3"/>
        <v>0</v>
      </c>
    </row>
    <row r="19" spans="1:21" ht="21.75" customHeight="1" x14ac:dyDescent="0.5">
      <c r="A19" s="4"/>
      <c r="B19" s="3"/>
      <c r="C19" s="3"/>
      <c r="D19" s="3"/>
      <c r="E19" s="3"/>
      <c r="F19" s="3"/>
      <c r="G19" s="3"/>
      <c r="H19" s="5"/>
      <c r="J19" s="63"/>
      <c r="K19" s="64"/>
      <c r="L19" s="66"/>
      <c r="M19" s="63"/>
      <c r="N19" s="63"/>
      <c r="O19" s="15">
        <f t="shared" si="3"/>
        <v>0</v>
      </c>
    </row>
    <row r="20" spans="1:21" ht="21.75" customHeight="1" x14ac:dyDescent="0.5">
      <c r="A20" s="4"/>
      <c r="B20" s="3"/>
      <c r="C20" s="3"/>
      <c r="D20" s="3"/>
      <c r="E20" s="3"/>
      <c r="F20" s="3"/>
      <c r="G20" s="19"/>
      <c r="H20" s="18"/>
      <c r="J20" s="63"/>
      <c r="K20" s="64"/>
      <c r="L20" s="66"/>
      <c r="M20" s="63"/>
      <c r="N20" s="63"/>
      <c r="O20" s="15">
        <f t="shared" si="3"/>
        <v>0</v>
      </c>
    </row>
    <row r="21" spans="1:21" ht="21.75" customHeight="1" x14ac:dyDescent="0.5">
      <c r="A21" s="20"/>
      <c r="B21" s="23"/>
      <c r="C21" s="23"/>
      <c r="D21" s="23"/>
      <c r="E21" s="23"/>
      <c r="F21" s="23"/>
      <c r="G21" s="23"/>
      <c r="H21" s="21"/>
      <c r="J21" s="63"/>
      <c r="K21" s="69"/>
      <c r="L21" s="66"/>
      <c r="M21" s="63"/>
      <c r="N21" s="63"/>
      <c r="O21" s="15">
        <f t="shared" si="3"/>
        <v>0</v>
      </c>
    </row>
    <row r="22" spans="1:21" ht="21" customHeight="1" x14ac:dyDescent="0.3">
      <c r="A22" s="20"/>
      <c r="B22" s="23"/>
      <c r="C22" s="23"/>
      <c r="D22" s="23"/>
      <c r="E22" s="23"/>
      <c r="F22" s="23"/>
      <c r="G22" s="23"/>
      <c r="H22" s="21"/>
    </row>
    <row r="23" spans="1:21" ht="21" customHeight="1" x14ac:dyDescent="0.3">
      <c r="A23" s="27"/>
      <c r="B23" s="28"/>
      <c r="C23" s="28"/>
      <c r="D23" s="28"/>
      <c r="E23" s="28"/>
      <c r="F23" s="28"/>
      <c r="G23" s="24"/>
      <c r="H23" s="22"/>
    </row>
    <row r="24" spans="1:21" ht="21" customHeight="1" x14ac:dyDescent="0.3">
      <c r="A24" s="71"/>
      <c r="B24" s="72"/>
      <c r="C24" s="72"/>
      <c r="D24" s="72"/>
      <c r="E24" s="72"/>
      <c r="F24" s="72"/>
      <c r="G24" s="72"/>
      <c r="H24" s="73"/>
    </row>
    <row r="25" spans="1:21" ht="21" customHeight="1" x14ac:dyDescent="0.3">
      <c r="A25" s="74"/>
      <c r="B25" s="75"/>
      <c r="C25" s="75"/>
      <c r="D25" s="75"/>
      <c r="E25" s="75"/>
      <c r="F25" s="75"/>
      <c r="G25" s="75"/>
      <c r="H25" s="76"/>
    </row>
  </sheetData>
  <mergeCells count="13">
    <mergeCell ref="G11:H11"/>
    <mergeCell ref="A1:H1"/>
    <mergeCell ref="B2:C2"/>
    <mergeCell ref="B3:D3"/>
    <mergeCell ref="E4:E9"/>
    <mergeCell ref="G8:H8"/>
    <mergeCell ref="A24:H24"/>
    <mergeCell ref="A25:H25"/>
    <mergeCell ref="G13:H13"/>
    <mergeCell ref="G14:H14"/>
    <mergeCell ref="G15:H15"/>
    <mergeCell ref="G16:H16"/>
    <mergeCell ref="A17:H17"/>
  </mergeCells>
  <printOptions horizontalCentered="1"/>
  <pageMargins left="0" right="0" top="0" bottom="0" header="0.31496062992125984" footer="0.31496062992125984"/>
  <pageSetup scale="97" fitToWidth="2" fitToHeight="2" orientation="portrait" r:id="rId1"/>
  <headerFooter alignWithMargins="0"/>
  <rowBreaks count="1" manualBreakCount="1">
    <brk id="25" max="7" man="1"/>
  </rowBreaks>
  <drawing r:id="rId2"/>
  <legacyDrawing r:id="rId3"/>
  <oleObjects>
    <mc:AlternateContent xmlns:mc="http://schemas.openxmlformats.org/markup-compatibility/2006">
      <mc:Choice Requires="x14">
        <oleObject progId="Word.Document.8" shapeId="19457" r:id="rId4">
          <objectPr defaultSize="0" r:id="rId5">
            <anchor moveWithCells="1">
              <from>
                <xdr:col>0</xdr:col>
                <xdr:colOff>31750</xdr:colOff>
                <xdr:row>25</xdr:row>
                <xdr:rowOff>0</xdr:rowOff>
              </from>
              <to>
                <xdr:col>7</xdr:col>
                <xdr:colOff>1060450</xdr:colOff>
                <xdr:row>85</xdr:row>
                <xdr:rowOff>133350</xdr:rowOff>
              </to>
            </anchor>
          </objectPr>
        </oleObject>
      </mc:Choice>
      <mc:Fallback>
        <oleObject progId="Word.Document.8" shapeId="19457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6" name="Button 2">
              <controlPr defaultSize="0" print="0" autoFill="0" autoPict="0" macro="[0]!_xludf.Clear">
                <anchor moveWithCells="1" sizeWithCells="1">
                  <from>
                    <xdr:col>8</xdr:col>
                    <xdr:colOff>127000</xdr:colOff>
                    <xdr:row>0</xdr:row>
                    <xdr:rowOff>0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7" name="Button 3">
              <controlPr defaultSize="0" print="0" autoFill="0" autoPict="0" macro="[0]!_xludf.Font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13</xdr:col>
                    <xdr:colOff>12700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8" name="Button 4">
              <controlPr defaultSize="0" print="0" autoFill="0" autoPict="0" macro="[0]!BWClear">
                <anchor moveWithCells="1" sizeWithCells="1">
                  <from>
                    <xdr:col>13</xdr:col>
                    <xdr:colOff>12700</xdr:colOff>
                    <xdr:row>0</xdr:row>
                    <xdr:rowOff>0</xdr:rowOff>
                  </from>
                  <to>
                    <xdr:col>18</xdr:col>
                    <xdr:colOff>165100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9" name="Button 5">
              <controlPr defaultSize="0" print="0" autoFill="0" autoPict="0" macro="[0]!BWAdd">
                <anchor moveWithCells="1" sizeWithCells="1">
                  <from>
                    <xdr:col>18</xdr:col>
                    <xdr:colOff>190500</xdr:colOff>
                    <xdr:row>0</xdr:row>
                    <xdr:rowOff>0</xdr:rowOff>
                  </from>
                  <to>
                    <xdr:col>20</xdr:col>
                    <xdr:colOff>355600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r:id="rId10" name="Button 7">
              <controlPr defaultSize="0" print="0" autoFill="0" autoPict="0" macro="[0]!pullBWskidsToBack">
                <anchor moveWithCells="1" sizeWithCells="1">
                  <from>
                    <xdr:col>19</xdr:col>
                    <xdr:colOff>361950</xdr:colOff>
                    <xdr:row>8</xdr:row>
                    <xdr:rowOff>209550</xdr:rowOff>
                  </from>
                  <to>
                    <xdr:col>21</xdr:col>
                    <xdr:colOff>374650</xdr:colOff>
                    <xdr:row>9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r:id="rId11" name="Button 8">
              <controlPr defaultSize="0" print="0" autoFill="0" autoPict="0" macro="[0]!_xludf.Clear">
                <anchor moveWithCells="1" sizeWithCells="1">
                  <from>
                    <xdr:col>8</xdr:col>
                    <xdr:colOff>127000</xdr:colOff>
                    <xdr:row>0</xdr:row>
                    <xdr:rowOff>0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r:id="rId12" name="Button 9">
              <controlPr defaultSize="0" print="0" autoFill="0" autoPict="0" macro="[0]!_xludf.Font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13</xdr:col>
                    <xdr:colOff>12700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6" r:id="rId13" name="Button 20">
              <controlPr defaultSize="0" print="0" autoFill="0" autoPict="0" macro="[0]!Mail_and_reset">
                <anchor moveWithCells="1" sizeWithCells="1">
                  <from>
                    <xdr:col>19</xdr:col>
                    <xdr:colOff>381000</xdr:colOff>
                    <xdr:row>10</xdr:row>
                    <xdr:rowOff>127000</xdr:rowOff>
                  </from>
                  <to>
                    <xdr:col>22</xdr:col>
                    <xdr:colOff>146050</xdr:colOff>
                    <xdr:row>11</xdr:row>
                    <xdr:rowOff>374650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40" id="{D263A649-0D5C-46CD-82AD-EB2C9EE85DDE}">
            <xm:f>MATCH(B4:BS90,'i:\Users\mattruetz\Library\Containers\com.microsoft.Excel\Data\Documents\Desktop\AZ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C14:C16 B4:C7</xm:sqref>
        </x14:conditionalFormatting>
        <x14:conditionalFormatting xmlns:xm="http://schemas.microsoft.com/office/excel/2006/main">
          <x14:cfRule type="expression" priority="909" id="{F6628624-9987-43AF-AC29-1A30BE34158E}">
            <xm:f>MATCH(C16:BT102,'i:\Users\mattruetz\Library\Containers\com.microsoft.Excel\Data\Documents\Desktop\AZ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W13</xm:sqref>
        </x14:conditionalFormatting>
        <x14:conditionalFormatting xmlns:xm="http://schemas.microsoft.com/office/excel/2006/main">
          <x14:cfRule type="expression" priority="162" id="{C8C269E8-26DD-4A86-A3DF-2725F87FE7FA}">
            <xm:f>MATCH(C12:BT98,'i:\Users\mattruetz\Library\Containers\com.microsoft.Excel\Data\Documents\Desktop\AZ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C12</xm:sqref>
        </x14:conditionalFormatting>
        <x14:conditionalFormatting xmlns:xm="http://schemas.microsoft.com/office/excel/2006/main">
          <x14:cfRule type="expression" priority="158" id="{7F53EE5F-EC1B-465A-B4D8-1A34266F96F6}">
            <xm:f>MATCH(C12:BT98,'i:\Users\mattruetz\Library\Containers\com.microsoft.Excel\Data\Documents\Desktop\AZ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C12</xm:sqref>
        </x14:conditionalFormatting>
        <x14:conditionalFormatting xmlns:xm="http://schemas.microsoft.com/office/excel/2006/main">
          <x14:cfRule type="expression" priority="155" id="{AB3CD39E-792F-4D8E-93DA-5B914211A507}">
            <xm:f>MATCH(C13:BT99,'i:\Users\mattruetz\Library\Containers\com.microsoft.Excel\Data\Documents\Desktop\AZ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C12</xm:sqref>
        </x14:conditionalFormatting>
        <x14:conditionalFormatting xmlns:xm="http://schemas.microsoft.com/office/excel/2006/main">
          <x14:cfRule type="expression" priority="153" id="{BC56D837-18D7-4A9C-B901-4EC30CE09444}">
            <xm:f>MATCH(C12:BT98,'i:\Users\mattruetz\Library\Containers\com.microsoft.Excel\Data\Documents\Desktop\AZ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C12</xm:sqref>
        </x14:conditionalFormatting>
        <x14:conditionalFormatting xmlns:xm="http://schemas.microsoft.com/office/excel/2006/main">
          <x14:cfRule type="expression" priority="151" id="{F4CB1780-1CAB-482A-9BC0-CF61E53BFB24}">
            <xm:f>MATCH(C12:BT98,'i:\Users\mattruetz\Library\Containers\com.microsoft.Excel\Data\Documents\Desktop\AZ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C12</xm:sqref>
        </x14:conditionalFormatting>
        <x14:conditionalFormatting xmlns:xm="http://schemas.microsoft.com/office/excel/2006/main">
          <x14:cfRule type="expression" priority="135" id="{480BC153-6F45-444E-BA42-80269D46D690}">
            <xm:f>MATCH(B13:BS99,'i:\Users\mattruetz\Library\Containers\com.microsoft.Excel\Data\Documents\Desktop\AZ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B13:B16</xm:sqref>
        </x14:conditionalFormatting>
        <x14:conditionalFormatting xmlns:xm="http://schemas.microsoft.com/office/excel/2006/main">
          <x14:cfRule type="expression" priority="133" id="{3BEA9D46-D75C-4193-934E-EEB0EB79E14A}">
            <xm:f>MATCH(B8:BS94,'i:\Users\mattruetz\Library\Containers\com.microsoft.Excel\Data\Documents\Desktop\AZ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B8:B9 B11</xm:sqref>
        </x14:conditionalFormatting>
        <x14:conditionalFormatting xmlns:xm="http://schemas.microsoft.com/office/excel/2006/main">
          <x14:cfRule type="expression" priority="134" id="{A80B95D6-CF61-4CD9-ACDE-D57A4091637F}">
            <xm:f>MATCH(B12:BS98,'i:\Users\mattruetz\Library\Containers\com.microsoft.Excel\Data\Documents\Desktop\AZ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B11</xm:sqref>
        </x14:conditionalFormatting>
        <x14:conditionalFormatting xmlns:xm="http://schemas.microsoft.com/office/excel/2006/main">
          <x14:cfRule type="expression" priority="130" id="{C0F2F9F3-BE56-4C11-B923-0A13EDD1F68A}">
            <xm:f>MATCH(B11:BS97,'i:\Users\mattruetz\Library\Containers\com.microsoft.Excel\Data\Documents\Desktop\AZ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B11</xm:sqref>
        </x14:conditionalFormatting>
        <x14:conditionalFormatting xmlns:xm="http://schemas.microsoft.com/office/excel/2006/main">
          <x14:cfRule type="expression" priority="127" id="{18E23FDD-99EA-4812-8A67-610EEAFB676D}">
            <xm:f>MATCH(B11:BS97,'i:\Users\mattruetz\Library\Containers\com.microsoft.Excel\Data\Documents\Desktop\AZ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B11</xm:sqref>
        </x14:conditionalFormatting>
        <x14:conditionalFormatting xmlns:xm="http://schemas.microsoft.com/office/excel/2006/main">
          <x14:cfRule type="expression" priority="124" id="{F970FE3F-4B0B-4640-97B0-D6F5BBE43D39}">
            <xm:f>MATCH(B12:BS98,'i:\Users\mattruetz\Library\Containers\com.microsoft.Excel\Data\Documents\Desktop\AZ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B11</xm:sqref>
        </x14:conditionalFormatting>
        <x14:conditionalFormatting xmlns:xm="http://schemas.microsoft.com/office/excel/2006/main">
          <x14:cfRule type="expression" priority="122" id="{5278A838-C437-4430-84DD-F67CE258DB74}">
            <xm:f>MATCH(B12:BS98,'i:\Users\mattruetz\Library\Containers\com.microsoft.Excel\Data\Documents\Desktop\AZ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B11</xm:sqref>
        </x14:conditionalFormatting>
        <x14:conditionalFormatting xmlns:xm="http://schemas.microsoft.com/office/excel/2006/main">
          <x14:cfRule type="expression" priority="120" id="{52866202-5BAA-4A9A-9088-766F362D2199}">
            <xm:f>MATCH(B11:BS97,'i:\Users\mattruetz\Library\Containers\com.microsoft.Excel\Data\Documents\Desktop\AZ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B11</xm:sqref>
        </x14:conditionalFormatting>
        <x14:conditionalFormatting xmlns:xm="http://schemas.microsoft.com/office/excel/2006/main">
          <x14:cfRule type="expression" priority="119" id="{6EDC7F40-8F85-4A1F-BF2F-FF1C68E80D2A}">
            <xm:f>MATCH(B9:BS95,'i:\Users\mattruetz\Library\Containers\com.microsoft.Excel\Data\Documents\Desktop\AZ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B8</xm:sqref>
        </x14:conditionalFormatting>
        <x14:conditionalFormatting xmlns:xm="http://schemas.microsoft.com/office/excel/2006/main">
          <x14:cfRule type="expression" priority="118" id="{14DF641E-439D-409B-9993-6FCD979D3EFC}">
            <xm:f>MATCH(B9:BS95,'i:\Users\mattruetz\Library\Containers\com.microsoft.Excel\Data\Documents\Desktop\AZ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B8</xm:sqref>
        </x14:conditionalFormatting>
        <x14:conditionalFormatting xmlns:xm="http://schemas.microsoft.com/office/excel/2006/main">
          <x14:cfRule type="expression" priority="117" id="{710F844C-CACA-482C-9D75-7AAFE0835D40}">
            <xm:f>MATCH(B8:BS94,'i:\Users\mattruetz\Library\Containers\com.microsoft.Excel\Data\Documents\Desktop\AZ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B8</xm:sqref>
        </x14:conditionalFormatting>
        <x14:conditionalFormatting xmlns:xm="http://schemas.microsoft.com/office/excel/2006/main">
          <x14:cfRule type="expression" priority="115" id="{BF560216-745D-41F0-8EB1-D351F5764BEF}">
            <xm:f>MATCH(B11:BS97,'i:\Users\mattruetz\Library\Containers\com.microsoft.Excel\Data\Documents\Desktop\AZ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B11</xm:sqref>
        </x14:conditionalFormatting>
        <x14:conditionalFormatting xmlns:xm="http://schemas.microsoft.com/office/excel/2006/main">
          <x14:cfRule type="expression" priority="113" id="{BC9BE661-1DBF-4408-8A2A-024613D4722C}">
            <xm:f>MATCH(B11:BS97,'i:\Users\mattruetz\Library\Containers\com.microsoft.Excel\Data\Documents\Desktop\AZ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B11</xm:sqref>
        </x14:conditionalFormatting>
        <x14:conditionalFormatting xmlns:xm="http://schemas.microsoft.com/office/excel/2006/main">
          <x14:cfRule type="expression" priority="111" id="{DFC82ED4-56B1-4C8B-96DC-AE69A5D6D3AD}">
            <xm:f>MATCH(B12:BS98,'i:\Users\mattruetz\Library\Containers\com.microsoft.Excel\Data\Documents\Desktop\AZ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B11</xm:sqref>
        </x14:conditionalFormatting>
        <x14:conditionalFormatting xmlns:xm="http://schemas.microsoft.com/office/excel/2006/main">
          <x14:cfRule type="expression" priority="109" id="{08262665-AD58-4005-BE9A-D3687ACA434D}">
            <xm:f>MATCH(B11:BS97,'i:\Users\mattruetz\Library\Containers\com.microsoft.Excel\Data\Documents\Desktop\AZ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B11</xm:sqref>
        </x14:conditionalFormatting>
        <x14:conditionalFormatting xmlns:xm="http://schemas.microsoft.com/office/excel/2006/main">
          <x14:cfRule type="expression" priority="107" id="{47C7171C-FD6B-4C27-9174-E3A2E15893C5}">
            <xm:f>MATCH(B11:BS97,'i:\Users\mattruetz\Library\Containers\com.microsoft.Excel\Data\Documents\Desktop\AZ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B11</xm:sqref>
        </x14:conditionalFormatting>
        <x14:conditionalFormatting xmlns:xm="http://schemas.microsoft.com/office/excel/2006/main">
          <x14:cfRule type="expression" priority="105" id="{A7909CF9-CF2F-4A94-AD5D-6FD024EE4717}">
            <xm:f>MATCH(C8:BT94,'i:\Users\mattruetz\Library\Containers\com.microsoft.Excel\Data\Documents\Desktop\AZ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C8:C12</xm:sqref>
        </x14:conditionalFormatting>
        <x14:conditionalFormatting xmlns:xm="http://schemas.microsoft.com/office/excel/2006/main">
          <x14:cfRule type="expression" priority="104" id="{E66076D0-57F5-49B2-926E-1199E729596C}">
            <xm:f>MATCH(C11:BT97,'i:\Users\mattruetz\Library\Containers\com.microsoft.Excel\Data\Documents\Desktop\AZ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C11</xm:sqref>
        </x14:conditionalFormatting>
        <x14:conditionalFormatting xmlns:xm="http://schemas.microsoft.com/office/excel/2006/main">
          <x14:cfRule type="expression" priority="103" id="{F2392D35-ABCF-4DA6-B54F-6E505D6A8B31}">
            <xm:f>MATCH(C11:BT97,'i:\Users\mattruetz\Library\Containers\com.microsoft.Excel\Data\Documents\Desktop\AZ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C11</xm:sqref>
        </x14:conditionalFormatting>
        <x14:conditionalFormatting xmlns:xm="http://schemas.microsoft.com/office/excel/2006/main">
          <x14:cfRule type="expression" priority="102" id="{3DBCBC1F-DD45-4C68-94D6-61EEB619FA31}">
            <xm:f>MATCH(C12:BT98,'i:\Users\mattruetz\Library\Containers\com.microsoft.Excel\Data\Documents\Desktop\AZ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C11</xm:sqref>
        </x14:conditionalFormatting>
        <x14:conditionalFormatting xmlns:xm="http://schemas.microsoft.com/office/excel/2006/main">
          <x14:cfRule type="expression" priority="101" id="{51B996B5-8F16-4507-A81A-99B42CD146C7}">
            <xm:f>MATCH(C11:BT97,'i:\Users\mattruetz\Library\Containers\com.microsoft.Excel\Data\Documents\Desktop\AZ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C11</xm:sqref>
        </x14:conditionalFormatting>
        <x14:conditionalFormatting xmlns:xm="http://schemas.microsoft.com/office/excel/2006/main">
          <x14:cfRule type="expression" priority="100" id="{35774C60-A7F6-4B66-8F5E-E5CCFB81DDE1}">
            <xm:f>MATCH(C11:BT97,'i:\Users\mattruetz\Library\Containers\com.microsoft.Excel\Data\Documents\Desktop\AZ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C11</xm:sqref>
        </x14:conditionalFormatting>
        <x14:conditionalFormatting xmlns:xm="http://schemas.microsoft.com/office/excel/2006/main">
          <x14:cfRule type="expression" priority="99" id="{56FCC1ED-1738-4891-A3F0-4F6A4C0B9048}">
            <xm:f>MATCH(C11:BT97,'i:\Users\mattruetz\Library\Containers\com.microsoft.Excel\Data\Documents\Desktop\AZ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C11</xm:sqref>
        </x14:conditionalFormatting>
        <x14:conditionalFormatting xmlns:xm="http://schemas.microsoft.com/office/excel/2006/main">
          <x14:cfRule type="expression" priority="98" id="{EA3D33F9-569B-4E33-B582-D50560296CA7}">
            <xm:f>MATCH(C11:BT97,'i:\Users\mattruetz\Library\Containers\com.microsoft.Excel\Data\Documents\Desktop\AZ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C11</xm:sqref>
        </x14:conditionalFormatting>
        <x14:conditionalFormatting xmlns:xm="http://schemas.microsoft.com/office/excel/2006/main">
          <x14:cfRule type="expression" priority="97" id="{81089C56-D300-40BD-939E-A2E4122100F4}">
            <xm:f>MATCH(C12:BT98,'i:\Users\mattruetz\Library\Containers\com.microsoft.Excel\Data\Documents\Desktop\AZ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C11</xm:sqref>
        </x14:conditionalFormatting>
        <x14:conditionalFormatting xmlns:xm="http://schemas.microsoft.com/office/excel/2006/main">
          <x14:cfRule type="expression" priority="96" id="{5A79B4AE-A62B-4672-85E8-1C730A09C0A9}">
            <xm:f>MATCH(C11:BT97,'i:\Users\mattruetz\Library\Containers\com.microsoft.Excel\Data\Documents\Desktop\AZ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C11</xm:sqref>
        </x14:conditionalFormatting>
        <x14:conditionalFormatting xmlns:xm="http://schemas.microsoft.com/office/excel/2006/main">
          <x14:cfRule type="expression" priority="95" id="{0B6FC790-CA3E-4964-8793-F3A48939F2DF}">
            <xm:f>MATCH(C11:BT97,'i:\Users\mattruetz\Library\Containers\com.microsoft.Excel\Data\Documents\Desktop\AZ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C11</xm:sqref>
        </x14:conditionalFormatting>
        <x14:conditionalFormatting xmlns:xm="http://schemas.microsoft.com/office/excel/2006/main">
          <x14:cfRule type="expression" priority="89" id="{3EAE58A5-6A1D-4344-BCA5-4C5701856FE2}">
            <xm:f>MATCH(B12:BS98,'i:\Users\mattruetz\Library\Containers\com.microsoft.Excel\Data\Documents\Desktop\AZ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B12</xm:sqref>
        </x14:conditionalFormatting>
        <x14:conditionalFormatting xmlns:xm="http://schemas.microsoft.com/office/excel/2006/main">
          <x14:cfRule type="expression" priority="88" id="{E8524747-F2CB-446F-96D6-681F796940BB}">
            <xm:f>MATCH(B12:BS98,'i:\Users\mattruetz\Library\Containers\com.microsoft.Excel\Data\Documents\Desktop\AZ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B12</xm:sqref>
        </x14:conditionalFormatting>
        <x14:conditionalFormatting xmlns:xm="http://schemas.microsoft.com/office/excel/2006/main">
          <x14:cfRule type="expression" priority="87" id="{4237D95B-3FC4-45C7-871D-DD0C7C21C7FD}">
            <xm:f>MATCH(B12:BS98,'i:\Users\mattruetz\Library\Containers\com.microsoft.Excel\Data\Documents\Desktop\AZ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B12</xm:sqref>
        </x14:conditionalFormatting>
        <x14:conditionalFormatting xmlns:xm="http://schemas.microsoft.com/office/excel/2006/main">
          <x14:cfRule type="expression" priority="86" id="{A8A14D38-E508-4A95-AD26-FC355B2513C0}">
            <xm:f>MATCH(B13:BS99,'i:\Users\mattruetz\Library\Containers\com.microsoft.Excel\Data\Documents\Desktop\AZ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B12</xm:sqref>
        </x14:conditionalFormatting>
        <x14:conditionalFormatting xmlns:xm="http://schemas.microsoft.com/office/excel/2006/main">
          <x14:cfRule type="expression" priority="85" id="{E2FBCDBC-64B6-4511-810B-4AF157D878B3}">
            <xm:f>MATCH(B12:BS98,'i:\Users\mattruetz\Library\Containers\com.microsoft.Excel\Data\Documents\Desktop\AZ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B12</xm:sqref>
        </x14:conditionalFormatting>
        <x14:conditionalFormatting xmlns:xm="http://schemas.microsoft.com/office/excel/2006/main">
          <x14:cfRule type="expression" priority="84" id="{8B7E3117-5797-45E8-923F-5A2CEC5E0CCF}">
            <xm:f>MATCH(B12:BS98,'i:\Users\mattruetz\Library\Containers\com.microsoft.Excel\Data\Documents\Desktop\AZ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B12</xm:sqref>
        </x14:conditionalFormatting>
        <x14:conditionalFormatting xmlns:xm="http://schemas.microsoft.com/office/excel/2006/main">
          <x14:cfRule type="expression" priority="83" id="{4CD42A0E-AD27-4CDB-AD16-803470594891}">
            <xm:f>MATCH(C10:BT96,'i:\Users\mattruetz\Library\Containers\com.microsoft.Excel\Data\Documents\Desktop\AZ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C10</xm:sqref>
        </x14:conditionalFormatting>
        <x14:conditionalFormatting xmlns:xm="http://schemas.microsoft.com/office/excel/2006/main">
          <x14:cfRule type="expression" priority="82" id="{DEF7D2AF-0CEC-41F6-A921-1765B0625836}">
            <xm:f>MATCH(C11:BT97,'i:\Users\mattruetz\Library\Containers\com.microsoft.Excel\Data\Documents\Desktop\AZ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C10</xm:sqref>
        </x14:conditionalFormatting>
        <x14:conditionalFormatting xmlns:xm="http://schemas.microsoft.com/office/excel/2006/main">
          <x14:cfRule type="expression" priority="81" id="{2D1AF6BD-A137-42B3-9AED-729DE04AA5D7}">
            <xm:f>MATCH(C11:BT97,'i:\Users\mattruetz\Library\Containers\com.microsoft.Excel\Data\Documents\Desktop\AZ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C10</xm:sqref>
        </x14:conditionalFormatting>
        <x14:conditionalFormatting xmlns:xm="http://schemas.microsoft.com/office/excel/2006/main">
          <x14:cfRule type="expression" priority="80" id="{23703B26-3521-414D-BFFA-C50CFCFF512E}">
            <xm:f>MATCH(C10:BT96,'i:\Users\mattruetz\Library\Containers\com.microsoft.Excel\Data\Documents\Desktop\AZ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C10</xm:sqref>
        </x14:conditionalFormatting>
        <x14:conditionalFormatting xmlns:xm="http://schemas.microsoft.com/office/excel/2006/main">
          <x14:cfRule type="expression" priority="79" id="{C1C63343-FAA6-429C-9DD7-853F1A3BCC37}">
            <xm:f>MATCH(C11:BT97,'i:\Users\mattruetz\Library\Containers\com.microsoft.Excel\Data\Documents\Desktop\AZ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C10</xm:sqref>
        </x14:conditionalFormatting>
        <x14:conditionalFormatting xmlns:xm="http://schemas.microsoft.com/office/excel/2006/main">
          <x14:cfRule type="expression" priority="78" id="{0819E7FF-9A06-487A-B074-B652BBACA350}">
            <xm:f>MATCH(C10:BT96,'i:\Users\mattruetz\Library\Containers\com.microsoft.Excel\Data\Documents\Desktop\AZ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C10</xm:sqref>
        </x14:conditionalFormatting>
        <x14:conditionalFormatting xmlns:xm="http://schemas.microsoft.com/office/excel/2006/main">
          <x14:cfRule type="expression" priority="77" id="{76C0A756-7F04-4694-893A-3384A2441A77}">
            <xm:f>MATCH(C10:BT96,'i:\Users\mattruetz\Library\Containers\com.microsoft.Excel\Data\Documents\Desktop\AZ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C10</xm:sqref>
        </x14:conditionalFormatting>
        <x14:conditionalFormatting xmlns:xm="http://schemas.microsoft.com/office/excel/2006/main">
          <x14:cfRule type="expression" priority="76" id="{A2AC36A9-0991-440E-832D-1370A54E88CB}">
            <xm:f>MATCH(C11:BT97,'i:\Users\mattruetz\Library\Containers\com.microsoft.Excel\Data\Documents\Desktop\AZ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C10</xm:sqref>
        </x14:conditionalFormatting>
        <x14:conditionalFormatting xmlns:xm="http://schemas.microsoft.com/office/excel/2006/main">
          <x14:cfRule type="expression" priority="75" id="{0F57A233-852B-49D8-97CB-DF6A6CFA013F}">
            <xm:f>MATCH(C11:BT97,'i:\Users\mattruetz\Library\Containers\com.microsoft.Excel\Data\Documents\Desktop\AZ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C10</xm:sqref>
        </x14:conditionalFormatting>
        <x14:conditionalFormatting xmlns:xm="http://schemas.microsoft.com/office/excel/2006/main">
          <x14:cfRule type="expression" priority="74" id="{E8DF9FE0-D495-4320-B655-0CE10E301A26}">
            <xm:f>MATCH(C10:BT96,'i:\Users\mattruetz\Library\Containers\com.microsoft.Excel\Data\Documents\Desktop\AZ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C10</xm:sqref>
        </x14:conditionalFormatting>
        <x14:conditionalFormatting xmlns:xm="http://schemas.microsoft.com/office/excel/2006/main">
          <x14:cfRule type="expression" priority="73" id="{BFC54560-92B4-4585-8115-D451FEC38B68}">
            <xm:f>MATCH(B10:BS96,'i:\Users\mattruetz\Library\Containers\com.microsoft.Excel\Data\Documents\Desktop\AZ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B10</xm:sqref>
        </x14:conditionalFormatting>
        <x14:conditionalFormatting xmlns:xm="http://schemas.microsoft.com/office/excel/2006/main">
          <x14:cfRule type="expression" priority="72" id="{71B74C5B-5CBB-4C62-A439-1F15C0C407BF}">
            <xm:f>MATCH(B10:BS96,'i:\Users\mattruetz\Library\Containers\com.microsoft.Excel\Data\Documents\Desktop\AZ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B10</xm:sqref>
        </x14:conditionalFormatting>
        <x14:conditionalFormatting xmlns:xm="http://schemas.microsoft.com/office/excel/2006/main">
          <x14:cfRule type="expression" priority="71" id="{DF64A570-3AB8-4584-8471-B991932F3B86}">
            <xm:f>MATCH(B10:BS96,'i:\Users\mattruetz\Library\Containers\com.microsoft.Excel\Data\Documents\Desktop\AZ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B10</xm:sqref>
        </x14:conditionalFormatting>
        <x14:conditionalFormatting xmlns:xm="http://schemas.microsoft.com/office/excel/2006/main">
          <x14:cfRule type="expression" priority="70" id="{A2860503-284A-49C1-B5F1-128B363EE8C6}">
            <xm:f>MATCH(B11:BS97,'i:\Users\mattruetz\Library\Containers\com.microsoft.Excel\Data\Documents\Desktop\AZ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B10</xm:sqref>
        </x14:conditionalFormatting>
        <x14:conditionalFormatting xmlns:xm="http://schemas.microsoft.com/office/excel/2006/main">
          <x14:cfRule type="expression" priority="69" id="{88BED867-6519-4FF8-857C-09439EA63A8C}">
            <xm:f>MATCH(B10:BS96,'i:\Users\mattruetz\Library\Containers\com.microsoft.Excel\Data\Documents\Desktop\AZ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B10</xm:sqref>
        </x14:conditionalFormatting>
        <x14:conditionalFormatting xmlns:xm="http://schemas.microsoft.com/office/excel/2006/main">
          <x14:cfRule type="expression" priority="68" id="{62C3E483-D953-4125-AA11-D696776A7959}">
            <xm:f>MATCH(B10:BS96,'i:\Users\mattruetz\Library\Containers\com.microsoft.Excel\Data\Documents\Desktop\AZ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B10</xm:sqref>
        </x14:conditionalFormatting>
        <x14:conditionalFormatting xmlns:xm="http://schemas.microsoft.com/office/excel/2006/main">
          <x14:cfRule type="expression" priority="67" id="{846BF465-251A-4DB1-ABC8-09EB319DC948}">
            <xm:f>MATCH(C12:BT98,'i:\Users\mattruetz\Library\Containers\com.microsoft.Excel\Data\Documents\Desktop\AZ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C12</xm:sqref>
        </x14:conditionalFormatting>
        <x14:conditionalFormatting xmlns:xm="http://schemas.microsoft.com/office/excel/2006/main">
          <x14:cfRule type="expression" priority="66" id="{45E8D28E-0FD0-471D-B73E-2B11161B466A}">
            <xm:f>MATCH(C11:BT97,'i:\Users\mattruetz\Library\Containers\com.microsoft.Excel\Data\Documents\Desktop\AZ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C11</xm:sqref>
        </x14:conditionalFormatting>
        <x14:conditionalFormatting xmlns:xm="http://schemas.microsoft.com/office/excel/2006/main">
          <x14:cfRule type="expression" priority="65" id="{A63BB6E9-5E2F-4ED1-94A6-B60383EF7BD3}">
            <xm:f>MATCH(C11:BT97,'i:\Users\mattruetz\Library\Containers\com.microsoft.Excel\Data\Documents\Desktop\AZ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C11</xm:sqref>
        </x14:conditionalFormatting>
        <x14:conditionalFormatting xmlns:xm="http://schemas.microsoft.com/office/excel/2006/main">
          <x14:cfRule type="expression" priority="64" id="{38B00BB2-B6B3-46A4-96B3-93ED26A58D49}">
            <xm:f>MATCH(C12:BT98,'i:\Users\mattruetz\Library\Containers\com.microsoft.Excel\Data\Documents\Desktop\AZ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C11</xm:sqref>
        </x14:conditionalFormatting>
        <x14:conditionalFormatting xmlns:xm="http://schemas.microsoft.com/office/excel/2006/main">
          <x14:cfRule type="expression" priority="63" id="{7FEA90B7-3268-41CB-9228-FB1F6D65E89E}">
            <xm:f>MATCH(C11:BT97,'i:\Users\mattruetz\Library\Containers\com.microsoft.Excel\Data\Documents\Desktop\AZ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C11</xm:sqref>
        </x14:conditionalFormatting>
        <x14:conditionalFormatting xmlns:xm="http://schemas.microsoft.com/office/excel/2006/main">
          <x14:cfRule type="expression" priority="62" id="{5F75B6C7-5D6A-4C7C-958C-CF424BF44486}">
            <xm:f>MATCH(C11:BT97,'i:\Users\mattruetz\Library\Containers\com.microsoft.Excel\Data\Documents\Desktop\AZ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C11</xm:sqref>
        </x14:conditionalFormatting>
        <x14:conditionalFormatting xmlns:xm="http://schemas.microsoft.com/office/excel/2006/main">
          <x14:cfRule type="expression" priority="61" id="{FA011BB8-E7E9-4296-9715-DB72FF48DF41}">
            <xm:f>MATCH(C10:BT96,'i:\Users\mattruetz\Library\Containers\com.microsoft.Excel\Data\Documents\Desktop\AZ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C10</xm:sqref>
        </x14:conditionalFormatting>
        <x14:conditionalFormatting xmlns:xm="http://schemas.microsoft.com/office/excel/2006/main">
          <x14:cfRule type="expression" priority="60" id="{28B9843D-1277-4FF5-8978-2447D851A50C}">
            <xm:f>MATCH(C10:BT96,'i:\Users\mattruetz\Library\Containers\com.microsoft.Excel\Data\Documents\Desktop\AZ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C10</xm:sqref>
        </x14:conditionalFormatting>
        <x14:conditionalFormatting xmlns:xm="http://schemas.microsoft.com/office/excel/2006/main">
          <x14:cfRule type="expression" priority="59" id="{41A37138-3DF0-4FF7-9B37-A2B96161DA3B}">
            <xm:f>MATCH(C11:BT97,'i:\Users\mattruetz\Library\Containers\com.microsoft.Excel\Data\Documents\Desktop\AZ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C10</xm:sqref>
        </x14:conditionalFormatting>
        <x14:conditionalFormatting xmlns:xm="http://schemas.microsoft.com/office/excel/2006/main">
          <x14:cfRule type="expression" priority="58" id="{D9BA050D-6DF9-42E8-B20B-BA030B86D64F}">
            <xm:f>MATCH(C10:BT96,'i:\Users\mattruetz\Library\Containers\com.microsoft.Excel\Data\Documents\Desktop\AZ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C10</xm:sqref>
        </x14:conditionalFormatting>
        <x14:conditionalFormatting xmlns:xm="http://schemas.microsoft.com/office/excel/2006/main">
          <x14:cfRule type="expression" priority="57" id="{386E4296-E7CA-49EF-BFEA-DE071F390FBC}">
            <xm:f>MATCH(C10:BT96,'i:\Users\mattruetz\Library\Containers\com.microsoft.Excel\Data\Documents\Desktop\AZ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C10</xm:sqref>
        </x14:conditionalFormatting>
        <x14:conditionalFormatting xmlns:xm="http://schemas.microsoft.com/office/excel/2006/main">
          <x14:cfRule type="expression" priority="56" id="{7F85777F-DD69-4317-BE99-9A86305877CE}">
            <xm:f>MATCH(C10:BT96,'i:\Users\mattruetz\Library\Containers\com.microsoft.Excel\Data\Documents\Desktop\AZ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C10</xm:sqref>
        </x14:conditionalFormatting>
        <x14:conditionalFormatting xmlns:xm="http://schemas.microsoft.com/office/excel/2006/main">
          <x14:cfRule type="expression" priority="55" id="{12AB74D5-F494-454A-9C64-A90BE7DC249E}">
            <xm:f>MATCH(C10:BT96,'i:\Users\mattruetz\Library\Containers\com.microsoft.Excel\Data\Documents\Desktop\AZ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C10</xm:sqref>
        </x14:conditionalFormatting>
        <x14:conditionalFormatting xmlns:xm="http://schemas.microsoft.com/office/excel/2006/main">
          <x14:cfRule type="expression" priority="54" id="{CAEB56AB-6BEF-4F4A-917B-96D00C3C93FA}">
            <xm:f>MATCH(C11:BT97,'i:\Users\mattruetz\Library\Containers\com.microsoft.Excel\Data\Documents\Desktop\AZ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C10</xm:sqref>
        </x14:conditionalFormatting>
        <x14:conditionalFormatting xmlns:xm="http://schemas.microsoft.com/office/excel/2006/main">
          <x14:cfRule type="expression" priority="53" id="{9E060FBD-F3E0-49D1-BEFF-0898101A5977}">
            <xm:f>MATCH(C10:BT96,'i:\Users\mattruetz\Library\Containers\com.microsoft.Excel\Data\Documents\Desktop\AZ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C10</xm:sqref>
        </x14:conditionalFormatting>
        <x14:conditionalFormatting xmlns:xm="http://schemas.microsoft.com/office/excel/2006/main">
          <x14:cfRule type="expression" priority="52" id="{94E01B1C-3CD8-4A28-8FBA-E3A0CAB02888}">
            <xm:f>MATCH(C10:BT96,'i:\Users\mattruetz\Library\Containers\com.microsoft.Excel\Data\Documents\Desktop\AZ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C10</xm:sqref>
        </x14:conditionalFormatting>
        <x14:conditionalFormatting xmlns:xm="http://schemas.microsoft.com/office/excel/2006/main">
          <x14:cfRule type="expression" priority="51" id="{2D8BCE90-20AB-47C8-A6E6-C57DBE96A843}">
            <xm:f>MATCH(C13:BT99,'i:\Users\mattruetz\Library\Containers\com.microsoft.Excel\Data\Documents\Desktop\AZ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C13</xm:sqref>
        </x14:conditionalFormatting>
        <x14:conditionalFormatting xmlns:xm="http://schemas.microsoft.com/office/excel/2006/main">
          <x14:cfRule type="expression" priority="50" id="{C790662F-25FE-44F2-992F-E2F75231D703}">
            <xm:f>MATCH(C11:BT97,'i:\Users\mattruetz\Library\Containers\com.microsoft.Excel\Data\Documents\Desktop\AZ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C11</xm:sqref>
        </x14:conditionalFormatting>
        <x14:conditionalFormatting xmlns:xm="http://schemas.microsoft.com/office/excel/2006/main">
          <x14:cfRule type="expression" priority="49" id="{0EE0BBE2-4A02-40A4-8873-6F348703D83E}">
            <xm:f>MATCH(C11:BT97,'i:\Users\mattruetz\Library\Containers\com.microsoft.Excel\Data\Documents\Desktop\AZ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C11</xm:sqref>
        </x14:conditionalFormatting>
        <x14:conditionalFormatting xmlns:xm="http://schemas.microsoft.com/office/excel/2006/main">
          <x14:cfRule type="expression" priority="48" id="{E4C5B6F0-EB8B-4940-AD3B-9BC451E69F4D}">
            <xm:f>MATCH(C12:BT98,'i:\Users\mattruetz\Library\Containers\com.microsoft.Excel\Data\Documents\Desktop\AZ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C11</xm:sqref>
        </x14:conditionalFormatting>
        <x14:conditionalFormatting xmlns:xm="http://schemas.microsoft.com/office/excel/2006/main">
          <x14:cfRule type="expression" priority="47" id="{0C38A03C-CD03-4D56-B2AF-E2917B5020DA}">
            <xm:f>MATCH(C11:BT97,'i:\Users\mattruetz\Library\Containers\com.microsoft.Excel\Data\Documents\Desktop\AZ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C11</xm:sqref>
        </x14:conditionalFormatting>
        <x14:conditionalFormatting xmlns:xm="http://schemas.microsoft.com/office/excel/2006/main">
          <x14:cfRule type="expression" priority="46" id="{F5EC857B-4374-4FB0-9EC9-16AB0947D161}">
            <xm:f>MATCH(C11:BT97,'i:\Users\mattruetz\Library\Containers\com.microsoft.Excel\Data\Documents\Desktop\AZ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C11</xm:sqref>
        </x14:conditionalFormatting>
        <x14:conditionalFormatting xmlns:xm="http://schemas.microsoft.com/office/excel/2006/main">
          <x14:cfRule type="expression" priority="45" id="{CFD04AF8-2C3C-4BFB-B464-9BEAE6AA291D}">
            <xm:f>MATCH(C10:BT96,'i:\Users\mattruetz\Library\Containers\com.microsoft.Excel\Data\Documents\Desktop\AZ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C10</xm:sqref>
        </x14:conditionalFormatting>
        <x14:conditionalFormatting xmlns:xm="http://schemas.microsoft.com/office/excel/2006/main">
          <x14:cfRule type="expression" priority="44" id="{91395535-1F1F-40DE-9208-E3A0A907C1F4}">
            <xm:f>MATCH(C10:BT96,'i:\Users\mattruetz\Library\Containers\com.microsoft.Excel\Data\Documents\Desktop\AZ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C10</xm:sqref>
        </x14:conditionalFormatting>
        <x14:conditionalFormatting xmlns:xm="http://schemas.microsoft.com/office/excel/2006/main">
          <x14:cfRule type="expression" priority="43" id="{6097FCA8-3756-4DB3-AEFD-A86865143423}">
            <xm:f>MATCH(C11:BT97,'i:\Users\mattruetz\Library\Containers\com.microsoft.Excel\Data\Documents\Desktop\AZ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C10</xm:sqref>
        </x14:conditionalFormatting>
        <x14:conditionalFormatting xmlns:xm="http://schemas.microsoft.com/office/excel/2006/main">
          <x14:cfRule type="expression" priority="42" id="{091E3457-D73F-440C-B9DE-BAB1003D1BB9}">
            <xm:f>MATCH(C10:BT96,'i:\Users\mattruetz\Library\Containers\com.microsoft.Excel\Data\Documents\Desktop\AZ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C10</xm:sqref>
        </x14:conditionalFormatting>
        <x14:conditionalFormatting xmlns:xm="http://schemas.microsoft.com/office/excel/2006/main">
          <x14:cfRule type="expression" priority="41" id="{8F389240-7A49-41DE-9825-D24EE1132C99}">
            <xm:f>MATCH(C10:BT96,'i:\Users\mattruetz\Library\Containers\com.microsoft.Excel\Data\Documents\Desktop\AZ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C10</xm:sqref>
        </x14:conditionalFormatting>
        <x14:conditionalFormatting xmlns:xm="http://schemas.microsoft.com/office/excel/2006/main">
          <x14:cfRule type="expression" priority="40" id="{051FE5B6-3A0F-424E-B5CE-2C12890A1442}">
            <xm:f>MATCH(C10:BT96,'i:\Users\mattruetz\Library\Containers\com.microsoft.Excel\Data\Documents\Desktop\AZ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C10</xm:sqref>
        </x14:conditionalFormatting>
        <x14:conditionalFormatting xmlns:xm="http://schemas.microsoft.com/office/excel/2006/main">
          <x14:cfRule type="expression" priority="39" id="{B24AE240-6ECE-4ED9-A068-51ECE119E182}">
            <xm:f>MATCH(C10:BT96,'i:\Users\mattruetz\Library\Containers\com.microsoft.Excel\Data\Documents\Desktop\AZ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C10</xm:sqref>
        </x14:conditionalFormatting>
        <x14:conditionalFormatting xmlns:xm="http://schemas.microsoft.com/office/excel/2006/main">
          <x14:cfRule type="expression" priority="38" id="{24F1FA67-7ACA-418B-97CB-BB6D2D77B0F0}">
            <xm:f>MATCH(C11:BT97,'i:\Users\mattruetz\Library\Containers\com.microsoft.Excel\Data\Documents\Desktop\AZ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C10</xm:sqref>
        </x14:conditionalFormatting>
        <x14:conditionalFormatting xmlns:xm="http://schemas.microsoft.com/office/excel/2006/main">
          <x14:cfRule type="expression" priority="37" id="{7D0B3FEC-6286-46B0-88D8-1DCF7E7C7C2A}">
            <xm:f>MATCH(C10:BT96,'i:\Users\mattruetz\Library\Containers\com.microsoft.Excel\Data\Documents\Desktop\AZ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C10</xm:sqref>
        </x14:conditionalFormatting>
        <x14:conditionalFormatting xmlns:xm="http://schemas.microsoft.com/office/excel/2006/main">
          <x14:cfRule type="expression" priority="36" id="{3B144958-4B29-423E-8467-6AE098178C8B}">
            <xm:f>MATCH(C10:BT96,'i:\Users\mattruetz\Library\Containers\com.microsoft.Excel\Data\Documents\Desktop\AZ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C10</xm:sqref>
        </x14:conditionalFormatting>
        <x14:conditionalFormatting xmlns:xm="http://schemas.microsoft.com/office/excel/2006/main">
          <x14:cfRule type="expression" priority="35" id="{859716BC-BD1B-42F8-B2F4-15DD2503C29C}">
            <xm:f>MATCH(C9:BT95,'i:\Users\mattruetz\Library\Containers\com.microsoft.Excel\Data\Documents\Desktop\AZ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C9</xm:sqref>
        </x14:conditionalFormatting>
        <x14:conditionalFormatting xmlns:xm="http://schemas.microsoft.com/office/excel/2006/main">
          <x14:cfRule type="expression" priority="34" id="{424F3ECE-09D4-45F0-BCCA-18AD3483525A}">
            <xm:f>MATCH(C10:BT96,'i:\Users\mattruetz\Library\Containers\com.microsoft.Excel\Data\Documents\Desktop\AZ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C9</xm:sqref>
        </x14:conditionalFormatting>
        <x14:conditionalFormatting xmlns:xm="http://schemas.microsoft.com/office/excel/2006/main">
          <x14:cfRule type="expression" priority="33" id="{06CA6BC9-475D-4EA6-AA06-AB932383E436}">
            <xm:f>MATCH(C10:BT96,'i:\Users\mattruetz\Library\Containers\com.microsoft.Excel\Data\Documents\Desktop\AZ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C9</xm:sqref>
        </x14:conditionalFormatting>
        <x14:conditionalFormatting xmlns:xm="http://schemas.microsoft.com/office/excel/2006/main">
          <x14:cfRule type="expression" priority="32" id="{067F90BF-BEFC-4879-9720-14D02A753294}">
            <xm:f>MATCH(C9:BT95,'i:\Users\mattruetz\Library\Containers\com.microsoft.Excel\Data\Documents\Desktop\AZ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C9</xm:sqref>
        </x14:conditionalFormatting>
        <x14:conditionalFormatting xmlns:xm="http://schemas.microsoft.com/office/excel/2006/main">
          <x14:cfRule type="expression" priority="31" id="{C2BEE254-CADE-4878-991F-B16B4A75CFE4}">
            <xm:f>MATCH(C10:BT96,'i:\Users\mattruetz\Library\Containers\com.microsoft.Excel\Data\Documents\Desktop\AZ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C9</xm:sqref>
        </x14:conditionalFormatting>
        <x14:conditionalFormatting xmlns:xm="http://schemas.microsoft.com/office/excel/2006/main">
          <x14:cfRule type="expression" priority="30" id="{318FCEBF-FDE9-408E-96DB-36D1D7F0DD8D}">
            <xm:f>MATCH(C9:BT95,'i:\Users\mattruetz\Library\Containers\com.microsoft.Excel\Data\Documents\Desktop\AZ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C9</xm:sqref>
        </x14:conditionalFormatting>
        <x14:conditionalFormatting xmlns:xm="http://schemas.microsoft.com/office/excel/2006/main">
          <x14:cfRule type="expression" priority="29" id="{07DB7F12-3132-4A3E-8864-01944D704639}">
            <xm:f>MATCH(C9:BT95,'i:\Users\mattruetz\Library\Containers\com.microsoft.Excel\Data\Documents\Desktop\AZ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C9</xm:sqref>
        </x14:conditionalFormatting>
        <x14:conditionalFormatting xmlns:xm="http://schemas.microsoft.com/office/excel/2006/main">
          <x14:cfRule type="expression" priority="28" id="{0CD803D1-C610-4B15-B5C4-1ABB2770F818}">
            <xm:f>MATCH(C10:BT96,'i:\Users\mattruetz\Library\Containers\com.microsoft.Excel\Data\Documents\Desktop\AZ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C9</xm:sqref>
        </x14:conditionalFormatting>
        <x14:conditionalFormatting xmlns:xm="http://schemas.microsoft.com/office/excel/2006/main">
          <x14:cfRule type="expression" priority="27" id="{DC259320-E09C-4750-B56C-1BC006AAA5F9}">
            <xm:f>MATCH(C10:BT96,'i:\Users\mattruetz\Library\Containers\com.microsoft.Excel\Data\Documents\Desktop\AZ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C9</xm:sqref>
        </x14:conditionalFormatting>
        <x14:conditionalFormatting xmlns:xm="http://schemas.microsoft.com/office/excel/2006/main">
          <x14:cfRule type="expression" priority="26" id="{E43B9365-C5BF-4DB0-87EB-E2DF75C2A001}">
            <xm:f>MATCH(C9:BT95,'i:\Users\mattruetz\Library\Containers\com.microsoft.Excel\Data\Documents\Desktop\AZ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C9</xm:sqref>
        </x14:conditionalFormatting>
        <x14:conditionalFormatting xmlns:xm="http://schemas.microsoft.com/office/excel/2006/main">
          <x14:cfRule type="expression" priority="25" id="{BA8EFD78-B1A8-4B67-A315-AA793E3A787B}">
            <xm:f>MATCH(C11:BT97,'i:\Users\mattruetz\Library\Containers\com.microsoft.Excel\Data\Documents\Desktop\AZ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C11</xm:sqref>
        </x14:conditionalFormatting>
        <x14:conditionalFormatting xmlns:xm="http://schemas.microsoft.com/office/excel/2006/main">
          <x14:cfRule type="expression" priority="24" id="{217B2390-9F94-4537-ACC8-56C25AD77130}">
            <xm:f>MATCH(C10:BT96,'i:\Users\mattruetz\Library\Containers\com.microsoft.Excel\Data\Documents\Desktop\AZ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C10</xm:sqref>
        </x14:conditionalFormatting>
        <x14:conditionalFormatting xmlns:xm="http://schemas.microsoft.com/office/excel/2006/main">
          <x14:cfRule type="expression" priority="23" id="{444FEAAD-A705-4236-9787-ED429A3DC744}">
            <xm:f>MATCH(C10:BT96,'i:\Users\mattruetz\Library\Containers\com.microsoft.Excel\Data\Documents\Desktop\AZ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C10</xm:sqref>
        </x14:conditionalFormatting>
        <x14:conditionalFormatting xmlns:xm="http://schemas.microsoft.com/office/excel/2006/main">
          <x14:cfRule type="expression" priority="22" id="{E00EA067-B26E-4752-BADB-F5D692FBA3DB}">
            <xm:f>MATCH(C11:BT97,'i:\Users\mattruetz\Library\Containers\com.microsoft.Excel\Data\Documents\Desktop\AZ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C10</xm:sqref>
        </x14:conditionalFormatting>
        <x14:conditionalFormatting xmlns:xm="http://schemas.microsoft.com/office/excel/2006/main">
          <x14:cfRule type="expression" priority="21" id="{AE4F2773-9105-48E8-B065-2702B39FCA69}">
            <xm:f>MATCH(C10:BT96,'i:\Users\mattruetz\Library\Containers\com.microsoft.Excel\Data\Documents\Desktop\AZ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C10</xm:sqref>
        </x14:conditionalFormatting>
        <x14:conditionalFormatting xmlns:xm="http://schemas.microsoft.com/office/excel/2006/main">
          <x14:cfRule type="expression" priority="20" id="{C973DE3B-EED8-4407-8B1C-F86F4CF0C613}">
            <xm:f>MATCH(C10:BT96,'i:\Users\mattruetz\Library\Containers\com.microsoft.Excel\Data\Documents\Desktop\AZ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C10</xm:sqref>
        </x14:conditionalFormatting>
        <x14:conditionalFormatting xmlns:xm="http://schemas.microsoft.com/office/excel/2006/main">
          <x14:cfRule type="expression" priority="19" id="{C717E694-63E5-418E-859B-5B0914CCD434}">
            <xm:f>MATCH(C9:BT95,'i:\Users\mattruetz\Library\Containers\com.microsoft.Excel\Data\Documents\Desktop\AZ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C9</xm:sqref>
        </x14:conditionalFormatting>
        <x14:conditionalFormatting xmlns:xm="http://schemas.microsoft.com/office/excel/2006/main">
          <x14:cfRule type="expression" priority="18" id="{AEF68A61-6F60-412D-B402-0FB60C259C8A}">
            <xm:f>MATCH(C9:BT95,'i:\Users\mattruetz\Library\Containers\com.microsoft.Excel\Data\Documents\Desktop\AZ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C9</xm:sqref>
        </x14:conditionalFormatting>
        <x14:conditionalFormatting xmlns:xm="http://schemas.microsoft.com/office/excel/2006/main">
          <x14:cfRule type="expression" priority="17" id="{B5D025C6-204B-4C22-9D6B-06541FB5EEF1}">
            <xm:f>MATCH(C10:BT96,'i:\Users\mattruetz\Library\Containers\com.microsoft.Excel\Data\Documents\Desktop\AZ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C9</xm:sqref>
        </x14:conditionalFormatting>
        <x14:conditionalFormatting xmlns:xm="http://schemas.microsoft.com/office/excel/2006/main">
          <x14:cfRule type="expression" priority="16" id="{B202C916-8B14-4761-8DFF-F1BF7CBC320A}">
            <xm:f>MATCH(C9:BT95,'i:\Users\mattruetz\Library\Containers\com.microsoft.Excel\Data\Documents\Desktop\AZ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C9</xm:sqref>
        </x14:conditionalFormatting>
        <x14:conditionalFormatting xmlns:xm="http://schemas.microsoft.com/office/excel/2006/main">
          <x14:cfRule type="expression" priority="15" id="{9BD17A1C-B91F-4CC8-9819-9C78F5F180E5}">
            <xm:f>MATCH(C9:BT95,'i:\Users\mattruetz\Library\Containers\com.microsoft.Excel\Data\Documents\Desktop\AZ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C9</xm:sqref>
        </x14:conditionalFormatting>
        <x14:conditionalFormatting xmlns:xm="http://schemas.microsoft.com/office/excel/2006/main">
          <x14:cfRule type="expression" priority="14" id="{E2F7387C-CA4A-46A3-BE04-5370244458A6}">
            <xm:f>MATCH(C9:BT95,'i:\Users\mattruetz\Library\Containers\com.microsoft.Excel\Data\Documents\Desktop\AZ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C9</xm:sqref>
        </x14:conditionalFormatting>
        <x14:conditionalFormatting xmlns:xm="http://schemas.microsoft.com/office/excel/2006/main">
          <x14:cfRule type="expression" priority="13" id="{8C789E30-85FD-4A16-862D-AA5613E93619}">
            <xm:f>MATCH(C9:BT95,'i:\Users\mattruetz\Library\Containers\com.microsoft.Excel\Data\Documents\Desktop\AZ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C9</xm:sqref>
        </x14:conditionalFormatting>
        <x14:conditionalFormatting xmlns:xm="http://schemas.microsoft.com/office/excel/2006/main">
          <x14:cfRule type="expression" priority="12" id="{70DDA414-7A2F-4C3A-9756-373EA9E4EBDE}">
            <xm:f>MATCH(C10:BT96,'i:\Users\mattruetz\Library\Containers\com.microsoft.Excel\Data\Documents\Desktop\AZ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C9</xm:sqref>
        </x14:conditionalFormatting>
        <x14:conditionalFormatting xmlns:xm="http://schemas.microsoft.com/office/excel/2006/main">
          <x14:cfRule type="expression" priority="11" id="{9A900161-95F7-425B-952A-197DD803E9E6}">
            <xm:f>MATCH(C9:BT95,'i:\Users\mattruetz\Library\Containers\com.microsoft.Excel\Data\Documents\Desktop\AZ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C9</xm:sqref>
        </x14:conditionalFormatting>
        <x14:conditionalFormatting xmlns:xm="http://schemas.microsoft.com/office/excel/2006/main">
          <x14:cfRule type="expression" priority="10" id="{FF5C4789-5E7B-4F60-BC82-EF963AD6F594}">
            <xm:f>MATCH(C9:BT95,'i:\Users\mattruetz\Library\Containers\com.microsoft.Excel\Data\Documents\Desktop\AZ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C9</xm:sqref>
        </x14:conditionalFormatting>
        <x14:conditionalFormatting xmlns:xm="http://schemas.microsoft.com/office/excel/2006/main">
          <x14:cfRule type="expression" priority="9" id="{C354EE5F-4147-4B24-B1AE-72D670E1ACD4}">
            <xm:f>MATCH(C12:BT98,'i:\Users\mattruetz\Library\Containers\com.microsoft.Excel\Data\Documents\Desktop\AZ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C12</xm:sqref>
        </x14:conditionalFormatting>
        <x14:conditionalFormatting xmlns:xm="http://schemas.microsoft.com/office/excel/2006/main">
          <x14:cfRule type="expression" priority="8" id="{531D2A84-212A-4EE7-B0CA-2D69B4BD5A3B}">
            <xm:f>MATCH(K6:CB92,'i:\Users\mattruetz\Library\Containers\com.microsoft.Excel\Data\Documents\Desktop\AZ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N6:N21 K18:M21 M6:M16 L17:M17</xm:sqref>
        </x14:conditionalFormatting>
        <x14:conditionalFormatting xmlns:xm="http://schemas.microsoft.com/office/excel/2006/main">
          <x14:cfRule type="expression" priority="7" id="{CE96811B-D176-44A1-915B-73AFEDAF6749}">
            <xm:f>MATCH(L16:CC102,'i:\Users\mattruetz\Library\Containers\com.microsoft.Excel\Data\Documents\Desktop\AZ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L16</xm:sqref>
        </x14:conditionalFormatting>
        <x14:conditionalFormatting xmlns:xm="http://schemas.microsoft.com/office/excel/2006/main">
          <x14:cfRule type="expression" priority="6" id="{1F0F02A3-040A-4B5C-AB4A-AD284FAD1DC8}">
            <xm:f>MATCH(L6:CC92,'i:\Users\mattruetz\Library\Containers\com.microsoft.Excel\Data\Documents\Desktop\AZ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L6:L8 L10:L15</xm:sqref>
        </x14:conditionalFormatting>
        <x14:conditionalFormatting xmlns:xm="http://schemas.microsoft.com/office/excel/2006/main">
          <x14:cfRule type="expression" priority="5" id="{DFF8FC9A-628E-4FB9-9E98-09B24221A379}">
            <xm:f>MATCH(L9:CC95,'i:\Users\mattruetz\Library\Containers\com.microsoft.Excel\Data\Documents\Desktop\AZ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L9</xm:sqref>
        </x14:conditionalFormatting>
        <x14:conditionalFormatting xmlns:xm="http://schemas.microsoft.com/office/excel/2006/main">
          <x14:cfRule type="expression" priority="4" id="{F233A4C2-58C8-4FC8-A25F-A93343D0648F}">
            <xm:f>MATCH(K6:CB92,'i:\Users\mattruetz\Library\Containers\com.microsoft.Excel\Data\Documents\Desktop\AZ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K6:K12 K15:K17</xm:sqref>
        </x14:conditionalFormatting>
        <x14:conditionalFormatting xmlns:xm="http://schemas.microsoft.com/office/excel/2006/main">
          <x14:cfRule type="expression" priority="3" id="{A01B541D-3348-4A65-A778-F23A211161BE}">
            <xm:f>MATCH(K13:CB99,'i:\My Documents\AZ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K13</xm:sqref>
        </x14:conditionalFormatting>
        <x14:conditionalFormatting xmlns:xm="http://schemas.microsoft.com/office/excel/2006/main">
          <x14:cfRule type="expression" priority="2" id="{64D4F92C-D352-4300-8003-7CDC1D1EB969}">
            <xm:f>MATCH(J6:CA92,'i:\Users\mattruetz\Library\Containers\com.microsoft.Excel\Data\Documents\Desktop\AZ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J6:J12 J15:J21</xm:sqref>
        </x14:conditionalFormatting>
        <x14:conditionalFormatting xmlns:xm="http://schemas.microsoft.com/office/excel/2006/main">
          <x14:cfRule type="expression" priority="1" id="{D4841AE4-8926-4CA4-A7C3-830AB7006C00}">
            <xm:f>MATCH(J13:CA99,'i:\My Documents\AZ Schedule History\[APR 20 - 24 2020.xlsm]Sheet1'!#REF!,0)</xm:f>
            <x14:dxf>
              <fill>
                <patternFill>
                  <bgColor theme="8" tint="-0.24994659260841701"/>
                </patternFill>
              </fill>
            </x14:dxf>
          </x14:cfRule>
          <xm:sqref>J13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12EEAC-E1D1-428E-9EB7-899D4B0B5F78}">
  <sheetPr codeName="Sheet1"/>
  <dimension ref="A1:B2"/>
  <sheetViews>
    <sheetView workbookViewId="0">
      <selection activeCell="B15" sqref="B15"/>
    </sheetView>
  </sheetViews>
  <sheetFormatPr defaultRowHeight="12.5" x14ac:dyDescent="0.25"/>
  <cols>
    <col min="1" max="1" width="32.26953125" customWidth="1"/>
    <col min="2" max="2" width="33.453125" customWidth="1"/>
  </cols>
  <sheetData>
    <row r="1" spans="1:2" ht="51.65" customHeight="1" x14ac:dyDescent="0.3">
      <c r="A1" s="52" t="s">
        <v>28</v>
      </c>
      <c r="B1" s="51"/>
    </row>
    <row r="2" spans="1:2" ht="21" x14ac:dyDescent="0.25">
      <c r="A2" s="54" t="s">
        <v>26</v>
      </c>
      <c r="B2" s="53" t="s">
        <v>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80</vt:i4>
      </vt:variant>
    </vt:vector>
  </HeadingPairs>
  <TitlesOfParts>
    <vt:vector size="86" baseType="lpstr">
      <vt:lpstr>Input</vt:lpstr>
      <vt:lpstr>Output - Default</vt:lpstr>
      <vt:lpstr>Output - Maintain Even Weight</vt:lpstr>
      <vt:lpstr>Output - Compress</vt:lpstr>
      <vt:lpstr>Output - Minimize BWs</vt:lpstr>
      <vt:lpstr>Settings</vt:lpstr>
      <vt:lpstr>Input!Check10</vt:lpstr>
      <vt:lpstr>'Output - Compress'!Check10</vt:lpstr>
      <vt:lpstr>'Output - Default'!Check10</vt:lpstr>
      <vt:lpstr>'Output - Maintain Even Weight'!Check10</vt:lpstr>
      <vt:lpstr>'Output - Minimize BWs'!Check10</vt:lpstr>
      <vt:lpstr>Input!Check11</vt:lpstr>
      <vt:lpstr>'Output - Compress'!Check11</vt:lpstr>
      <vt:lpstr>'Output - Default'!Check11</vt:lpstr>
      <vt:lpstr>'Output - Maintain Even Weight'!Check11</vt:lpstr>
      <vt:lpstr>'Output - Minimize BWs'!Check11</vt:lpstr>
      <vt:lpstr>Input!Check12</vt:lpstr>
      <vt:lpstr>'Output - Compress'!Check12</vt:lpstr>
      <vt:lpstr>'Output - Default'!Check12</vt:lpstr>
      <vt:lpstr>'Output - Maintain Even Weight'!Check12</vt:lpstr>
      <vt:lpstr>'Output - Minimize BWs'!Check12</vt:lpstr>
      <vt:lpstr>Input!Check15</vt:lpstr>
      <vt:lpstr>'Output - Compress'!Check15</vt:lpstr>
      <vt:lpstr>'Output - Default'!Check15</vt:lpstr>
      <vt:lpstr>'Output - Maintain Even Weight'!Check15</vt:lpstr>
      <vt:lpstr>'Output - Minimize BWs'!Check15</vt:lpstr>
      <vt:lpstr>Input!Check16</vt:lpstr>
      <vt:lpstr>'Output - Compress'!Check16</vt:lpstr>
      <vt:lpstr>'Output - Default'!Check16</vt:lpstr>
      <vt:lpstr>'Output - Maintain Even Weight'!Check16</vt:lpstr>
      <vt:lpstr>'Output - Minimize BWs'!Check16</vt:lpstr>
      <vt:lpstr>Input!Check17</vt:lpstr>
      <vt:lpstr>'Output - Compress'!Check17</vt:lpstr>
      <vt:lpstr>'Output - Default'!Check17</vt:lpstr>
      <vt:lpstr>'Output - Maintain Even Weight'!Check17</vt:lpstr>
      <vt:lpstr>'Output - Minimize BWs'!Check17</vt:lpstr>
      <vt:lpstr>Input!Check18</vt:lpstr>
      <vt:lpstr>'Output - Compress'!Check18</vt:lpstr>
      <vt:lpstr>'Output - Default'!Check18</vt:lpstr>
      <vt:lpstr>'Output - Maintain Even Weight'!Check18</vt:lpstr>
      <vt:lpstr>'Output - Minimize BWs'!Check18</vt:lpstr>
      <vt:lpstr>Input!Check2</vt:lpstr>
      <vt:lpstr>'Output - Compress'!Check2</vt:lpstr>
      <vt:lpstr>'Output - Default'!Check2</vt:lpstr>
      <vt:lpstr>'Output - Maintain Even Weight'!Check2</vt:lpstr>
      <vt:lpstr>'Output - Minimize BWs'!Check2</vt:lpstr>
      <vt:lpstr>Input!Check3</vt:lpstr>
      <vt:lpstr>'Output - Compress'!Check3</vt:lpstr>
      <vt:lpstr>'Output - Default'!Check3</vt:lpstr>
      <vt:lpstr>'Output - Maintain Even Weight'!Check3</vt:lpstr>
      <vt:lpstr>'Output - Minimize BWs'!Check3</vt:lpstr>
      <vt:lpstr>Input!Check4</vt:lpstr>
      <vt:lpstr>'Output - Compress'!Check4</vt:lpstr>
      <vt:lpstr>'Output - Default'!Check4</vt:lpstr>
      <vt:lpstr>'Output - Maintain Even Weight'!Check4</vt:lpstr>
      <vt:lpstr>'Output - Minimize BWs'!Check4</vt:lpstr>
      <vt:lpstr>Input!Check5</vt:lpstr>
      <vt:lpstr>'Output - Compress'!Check5</vt:lpstr>
      <vt:lpstr>'Output - Default'!Check5</vt:lpstr>
      <vt:lpstr>'Output - Maintain Even Weight'!Check5</vt:lpstr>
      <vt:lpstr>'Output - Minimize BWs'!Check5</vt:lpstr>
      <vt:lpstr>Input!Check6</vt:lpstr>
      <vt:lpstr>'Output - Compress'!Check6</vt:lpstr>
      <vt:lpstr>'Output - Default'!Check6</vt:lpstr>
      <vt:lpstr>'Output - Maintain Even Weight'!Check6</vt:lpstr>
      <vt:lpstr>'Output - Minimize BWs'!Check6</vt:lpstr>
      <vt:lpstr>Input!Check7</vt:lpstr>
      <vt:lpstr>'Output - Compress'!Check7</vt:lpstr>
      <vt:lpstr>'Output - Default'!Check7</vt:lpstr>
      <vt:lpstr>'Output - Maintain Even Weight'!Check7</vt:lpstr>
      <vt:lpstr>'Output - Minimize BWs'!Check7</vt:lpstr>
      <vt:lpstr>Input!Check8</vt:lpstr>
      <vt:lpstr>'Output - Compress'!Check8</vt:lpstr>
      <vt:lpstr>'Output - Default'!Check8</vt:lpstr>
      <vt:lpstr>'Output - Maintain Even Weight'!Check8</vt:lpstr>
      <vt:lpstr>'Output - Minimize BWs'!Check8</vt:lpstr>
      <vt:lpstr>Input!Check9</vt:lpstr>
      <vt:lpstr>'Output - Compress'!Check9</vt:lpstr>
      <vt:lpstr>'Output - Default'!Check9</vt:lpstr>
      <vt:lpstr>'Output - Maintain Even Weight'!Check9</vt:lpstr>
      <vt:lpstr>'Output - Minimize BWs'!Check9</vt:lpstr>
      <vt:lpstr>Input!Print_Area</vt:lpstr>
      <vt:lpstr>'Output - Compress'!Print_Area</vt:lpstr>
      <vt:lpstr>'Output - Default'!Print_Area</vt:lpstr>
      <vt:lpstr>'Output - Maintain Even Weight'!Print_Area</vt:lpstr>
      <vt:lpstr>'Output - Minimize BWs'!Print_Area</vt:lpstr>
    </vt:vector>
  </TitlesOfParts>
  <Company>Sleeman Breweries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Load Sheets</dc:title>
  <dc:creator>Christine Moore</dc:creator>
  <dc:description>Loadsheets created Nov 28, 2012</dc:description>
  <cp:lastModifiedBy>Matt Ruetz</cp:lastModifiedBy>
  <cp:lastPrinted>2020-09-29T14:20:00Z</cp:lastPrinted>
  <dcterms:created xsi:type="dcterms:W3CDTF">2009-07-22T16:43:30Z</dcterms:created>
  <dcterms:modified xsi:type="dcterms:W3CDTF">2021-10-04T22:13:00Z</dcterms:modified>
</cp:coreProperties>
</file>